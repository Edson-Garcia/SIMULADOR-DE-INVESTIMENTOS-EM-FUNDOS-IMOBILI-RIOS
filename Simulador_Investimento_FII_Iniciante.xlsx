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IO\Ferramenta de Controle de Investimentos com Excel\"/>
    </mc:Choice>
  </mc:AlternateContent>
  <xr:revisionPtr revIDLastSave="0" documentId="8_{EC1AE6EC-98E9-40F8-9607-9A17C5427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 de FIIs" sheetId="1" r:id="rId1"/>
    <sheet name="Instruções e Exemp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1" l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D12" i="1" s="1"/>
  <c r="E12" i="1" s="1"/>
  <c r="D5" i="1"/>
  <c r="F12" i="1" l="1"/>
  <c r="G12" i="1" s="1"/>
  <c r="C13" i="1" s="1"/>
  <c r="D13" i="1"/>
  <c r="E13" i="1" s="1"/>
  <c r="F13" i="1" l="1"/>
  <c r="G13" i="1" s="1"/>
  <c r="C14" i="1" s="1"/>
  <c r="D14" i="1" s="1"/>
  <c r="E14" i="1" s="1"/>
  <c r="F14" i="1" l="1"/>
  <c r="G14" i="1" s="1"/>
  <c r="C15" i="1" s="1"/>
  <c r="D15" i="1" s="1"/>
  <c r="E15" i="1" s="1"/>
  <c r="F15" i="1" l="1"/>
  <c r="G15" i="1" s="1"/>
  <c r="C16" i="1" s="1"/>
  <c r="D16" i="1" s="1"/>
  <c r="E16" i="1" s="1"/>
  <c r="F16" i="1" l="1"/>
  <c r="G16" i="1" s="1"/>
  <c r="C17" i="1" s="1"/>
  <c r="D17" i="1" s="1"/>
  <c r="E17" i="1" s="1"/>
  <c r="F17" i="1" l="1"/>
  <c r="G17" i="1" s="1"/>
  <c r="C18" i="1" s="1"/>
  <c r="D18" i="1" s="1"/>
  <c r="E18" i="1"/>
  <c r="F18" i="1" l="1"/>
  <c r="G18" i="1" s="1"/>
  <c r="C19" i="1" s="1"/>
  <c r="D19" i="1" s="1"/>
  <c r="E19" i="1" s="1"/>
  <c r="F19" i="1" l="1"/>
  <c r="G19" i="1" s="1"/>
  <c r="C20" i="1" s="1"/>
  <c r="D20" i="1" s="1"/>
  <c r="E20" i="1"/>
  <c r="F20" i="1" l="1"/>
  <c r="G20" i="1" s="1"/>
  <c r="C21" i="1" s="1"/>
  <c r="D21" i="1" s="1"/>
  <c r="E21" i="1" s="1"/>
  <c r="F21" i="1" l="1"/>
  <c r="G21" i="1" s="1"/>
  <c r="C22" i="1" s="1"/>
  <c r="D22" i="1" s="1"/>
  <c r="E22" i="1"/>
  <c r="F22" i="1" l="1"/>
  <c r="G22" i="1" s="1"/>
  <c r="C23" i="1" s="1"/>
  <c r="D23" i="1" s="1"/>
  <c r="E23" i="1" s="1"/>
  <c r="F23" i="1" l="1"/>
  <c r="G23" i="1" s="1"/>
  <c r="C24" i="1" s="1"/>
  <c r="D24" i="1" s="1"/>
  <c r="E24" i="1" s="1"/>
  <c r="F24" i="1" l="1"/>
  <c r="G24" i="1" s="1"/>
  <c r="C25" i="1" s="1"/>
  <c r="D25" i="1" s="1"/>
  <c r="E25" i="1" s="1"/>
  <c r="F25" i="1" l="1"/>
  <c r="G25" i="1" s="1"/>
  <c r="C26" i="1" s="1"/>
  <c r="D26" i="1" s="1"/>
  <c r="E26" i="1"/>
  <c r="F26" i="1" l="1"/>
  <c r="G26" i="1" s="1"/>
  <c r="C27" i="1" s="1"/>
  <c r="D27" i="1" s="1"/>
  <c r="E27" i="1" s="1"/>
  <c r="F27" i="1" l="1"/>
  <c r="G27" i="1" s="1"/>
  <c r="C28" i="1" s="1"/>
  <c r="D28" i="1" s="1"/>
  <c r="E28" i="1"/>
  <c r="F28" i="1" l="1"/>
  <c r="G28" i="1" s="1"/>
  <c r="C29" i="1" s="1"/>
  <c r="D29" i="1" s="1"/>
  <c r="E29" i="1" s="1"/>
  <c r="F29" i="1" l="1"/>
  <c r="G29" i="1" s="1"/>
  <c r="C30" i="1" s="1"/>
  <c r="D30" i="1" s="1"/>
  <c r="E30" i="1"/>
  <c r="F30" i="1" l="1"/>
  <c r="G30" i="1" s="1"/>
  <c r="C31" i="1" s="1"/>
  <c r="D31" i="1" s="1"/>
  <c r="E31" i="1" s="1"/>
  <c r="F31" i="1" l="1"/>
  <c r="G31" i="1" s="1"/>
  <c r="C32" i="1" s="1"/>
  <c r="D32" i="1" s="1"/>
  <c r="E32" i="1"/>
  <c r="F32" i="1" l="1"/>
  <c r="G32" i="1" s="1"/>
  <c r="C33" i="1" s="1"/>
  <c r="D33" i="1" s="1"/>
  <c r="E33" i="1" s="1"/>
  <c r="F33" i="1" l="1"/>
  <c r="G33" i="1" s="1"/>
  <c r="C34" i="1" s="1"/>
  <c r="D34" i="1" s="1"/>
  <c r="E34" i="1"/>
  <c r="F34" i="1" l="1"/>
  <c r="G34" i="1" s="1"/>
  <c r="C35" i="1" s="1"/>
  <c r="D35" i="1" s="1"/>
  <c r="E35" i="1" s="1"/>
  <c r="F35" i="1" l="1"/>
  <c r="G35" i="1" s="1"/>
  <c r="C36" i="1" s="1"/>
  <c r="D36" i="1" s="1"/>
  <c r="E36" i="1"/>
  <c r="F36" i="1" l="1"/>
  <c r="G36" i="1" s="1"/>
  <c r="C37" i="1" s="1"/>
  <c r="D37" i="1" s="1"/>
  <c r="E37" i="1" s="1"/>
  <c r="F37" i="1" l="1"/>
  <c r="G37" i="1" s="1"/>
  <c r="C38" i="1" s="1"/>
  <c r="D38" i="1" s="1"/>
  <c r="E38" i="1"/>
  <c r="F38" i="1" l="1"/>
  <c r="G38" i="1" s="1"/>
  <c r="C39" i="1" s="1"/>
  <c r="D39" i="1" s="1"/>
  <c r="E39" i="1" s="1"/>
  <c r="F39" i="1" l="1"/>
  <c r="G39" i="1" s="1"/>
  <c r="C40" i="1" s="1"/>
  <c r="D40" i="1" s="1"/>
  <c r="E40" i="1"/>
  <c r="F40" i="1" l="1"/>
  <c r="G40" i="1" s="1"/>
  <c r="C41" i="1" s="1"/>
  <c r="D41" i="1" s="1"/>
  <c r="E41" i="1" s="1"/>
  <c r="F41" i="1" l="1"/>
  <c r="G41" i="1" s="1"/>
  <c r="C42" i="1" s="1"/>
  <c r="D42" i="1" s="1"/>
  <c r="E42" i="1"/>
  <c r="F42" i="1" l="1"/>
  <c r="G42" i="1" s="1"/>
  <c r="C43" i="1" s="1"/>
  <c r="D43" i="1" s="1"/>
  <c r="E43" i="1" s="1"/>
  <c r="F43" i="1" l="1"/>
  <c r="G43" i="1" s="1"/>
  <c r="C44" i="1" s="1"/>
  <c r="D44" i="1" s="1"/>
  <c r="E44" i="1"/>
  <c r="F44" i="1" l="1"/>
  <c r="G44" i="1" s="1"/>
  <c r="C45" i="1" s="1"/>
  <c r="D45" i="1" s="1"/>
  <c r="E45" i="1" s="1"/>
  <c r="F45" i="1" l="1"/>
  <c r="G45" i="1" s="1"/>
  <c r="C46" i="1" s="1"/>
  <c r="D46" i="1" s="1"/>
  <c r="E46" i="1" s="1"/>
  <c r="F46" i="1" l="1"/>
  <c r="G46" i="1" s="1"/>
  <c r="C47" i="1" s="1"/>
  <c r="D47" i="1" s="1"/>
  <c r="E47" i="1" s="1"/>
  <c r="F47" i="1" l="1"/>
  <c r="G47" i="1" s="1"/>
  <c r="C48" i="1" s="1"/>
  <c r="D48" i="1" s="1"/>
  <c r="E48" i="1" s="1"/>
  <c r="F48" i="1" l="1"/>
  <c r="G48" i="1" s="1"/>
  <c r="C49" i="1" s="1"/>
  <c r="D49" i="1" s="1"/>
  <c r="E49" i="1" s="1"/>
  <c r="F49" i="1" l="1"/>
  <c r="G49" i="1" s="1"/>
  <c r="C50" i="1" s="1"/>
  <c r="D50" i="1" s="1"/>
  <c r="E50" i="1"/>
  <c r="E51" i="1" l="1"/>
  <c r="F50" i="1"/>
  <c r="G50" i="1" s="1"/>
  <c r="C51" i="1" s="1"/>
  <c r="D51" i="1" s="1"/>
  <c r="F51" i="1" l="1"/>
  <c r="G51" i="1" s="1"/>
  <c r="C52" i="1" s="1"/>
  <c r="D52" i="1" s="1"/>
  <c r="E52" i="1" s="1"/>
  <c r="F52" i="1" l="1"/>
  <c r="G52" i="1" s="1"/>
  <c r="C53" i="1" s="1"/>
  <c r="D53" i="1" s="1"/>
  <c r="E53" i="1" s="1"/>
  <c r="F53" i="1" l="1"/>
  <c r="G53" i="1" s="1"/>
  <c r="C54" i="1" s="1"/>
  <c r="D54" i="1" s="1"/>
  <c r="E54" i="1"/>
  <c r="F54" i="1" l="1"/>
  <c r="G54" i="1" s="1"/>
  <c r="C55" i="1" s="1"/>
  <c r="D55" i="1" s="1"/>
  <c r="E55" i="1" s="1"/>
  <c r="F55" i="1" l="1"/>
  <c r="G55" i="1" s="1"/>
  <c r="C56" i="1" s="1"/>
  <c r="D56" i="1" s="1"/>
  <c r="E56" i="1" s="1"/>
  <c r="F56" i="1" l="1"/>
  <c r="G56" i="1" s="1"/>
  <c r="C57" i="1" s="1"/>
  <c r="D57" i="1" s="1"/>
  <c r="E57" i="1" s="1"/>
  <c r="F57" i="1" l="1"/>
  <c r="G57" i="1" s="1"/>
  <c r="C58" i="1" s="1"/>
  <c r="D58" i="1" s="1"/>
  <c r="E58" i="1"/>
  <c r="F58" i="1" l="1"/>
  <c r="G58" i="1" s="1"/>
  <c r="C59" i="1" s="1"/>
  <c r="D59" i="1" s="1"/>
  <c r="E59" i="1" s="1"/>
  <c r="F59" i="1" l="1"/>
  <c r="G59" i="1" s="1"/>
  <c r="C60" i="1" s="1"/>
  <c r="D60" i="1" s="1"/>
  <c r="E60" i="1"/>
  <c r="F60" i="1" l="1"/>
  <c r="G60" i="1" s="1"/>
  <c r="C61" i="1" s="1"/>
  <c r="D61" i="1" s="1"/>
  <c r="E61" i="1" s="1"/>
  <c r="F61" i="1" l="1"/>
  <c r="G61" i="1" s="1"/>
  <c r="C62" i="1" s="1"/>
  <c r="D62" i="1" s="1"/>
  <c r="E62" i="1"/>
  <c r="F62" i="1" l="1"/>
  <c r="G62" i="1" s="1"/>
  <c r="C63" i="1" s="1"/>
  <c r="D63" i="1" s="1"/>
  <c r="E63" i="1" s="1"/>
  <c r="F63" i="1" l="1"/>
  <c r="G63" i="1" s="1"/>
  <c r="C64" i="1" s="1"/>
  <c r="D64" i="1" s="1"/>
  <c r="E64" i="1" s="1"/>
  <c r="F64" i="1" l="1"/>
  <c r="G64" i="1" s="1"/>
  <c r="C65" i="1" s="1"/>
  <c r="D65" i="1" s="1"/>
  <c r="E65" i="1" s="1"/>
  <c r="F65" i="1" l="1"/>
  <c r="G65" i="1" s="1"/>
  <c r="C66" i="1" s="1"/>
  <c r="D66" i="1" s="1"/>
  <c r="E66" i="1"/>
  <c r="F66" i="1" l="1"/>
  <c r="G66" i="1" s="1"/>
  <c r="C67" i="1" s="1"/>
  <c r="D67" i="1" s="1"/>
  <c r="E67" i="1" s="1"/>
  <c r="F67" i="1" l="1"/>
  <c r="G67" i="1" s="1"/>
  <c r="C68" i="1" s="1"/>
  <c r="D68" i="1" s="1"/>
  <c r="E68" i="1"/>
  <c r="F68" i="1" l="1"/>
  <c r="G68" i="1" s="1"/>
  <c r="C69" i="1" s="1"/>
  <c r="D69" i="1" s="1"/>
  <c r="E69" i="1" s="1"/>
  <c r="F69" i="1" l="1"/>
  <c r="G69" i="1" s="1"/>
  <c r="C70" i="1" s="1"/>
  <c r="D70" i="1" s="1"/>
  <c r="E70" i="1"/>
  <c r="F70" i="1" l="1"/>
  <c r="G70" i="1" s="1"/>
  <c r="C71" i="1" s="1"/>
  <c r="D71" i="1" s="1"/>
  <c r="E71" i="1" s="1"/>
  <c r="F71" i="1" l="1"/>
  <c r="G71" i="1" s="1"/>
  <c r="C72" i="1" s="1"/>
  <c r="D72" i="1" s="1"/>
  <c r="E72" i="1"/>
  <c r="F72" i="1" l="1"/>
  <c r="G72" i="1" s="1"/>
  <c r="C73" i="1" s="1"/>
  <c r="D73" i="1" s="1"/>
  <c r="E73" i="1" s="1"/>
  <c r="F73" i="1" l="1"/>
  <c r="G73" i="1" s="1"/>
  <c r="C74" i="1" s="1"/>
  <c r="D74" i="1" s="1"/>
  <c r="E74" i="1"/>
  <c r="F74" i="1" l="1"/>
  <c r="G74" i="1" s="1"/>
  <c r="C75" i="1" s="1"/>
  <c r="D75" i="1" s="1"/>
  <c r="E75" i="1" s="1"/>
  <c r="F75" i="1" l="1"/>
  <c r="G75" i="1" s="1"/>
  <c r="C76" i="1" s="1"/>
  <c r="D76" i="1" s="1"/>
  <c r="E76" i="1"/>
  <c r="F76" i="1" l="1"/>
  <c r="G76" i="1" s="1"/>
  <c r="C77" i="1" s="1"/>
  <c r="D77" i="1" s="1"/>
  <c r="E77" i="1" s="1"/>
  <c r="F77" i="1" l="1"/>
  <c r="G77" i="1" s="1"/>
  <c r="C78" i="1" s="1"/>
  <c r="D78" i="1" s="1"/>
  <c r="E78" i="1"/>
  <c r="F78" i="1" l="1"/>
  <c r="G78" i="1" s="1"/>
  <c r="C79" i="1" s="1"/>
  <c r="D79" i="1" s="1"/>
  <c r="E79" i="1" s="1"/>
  <c r="F79" i="1" l="1"/>
  <c r="G79" i="1" s="1"/>
  <c r="C80" i="1" s="1"/>
  <c r="D80" i="1" s="1"/>
  <c r="E80" i="1"/>
  <c r="F80" i="1" l="1"/>
  <c r="G80" i="1" s="1"/>
  <c r="C81" i="1" s="1"/>
  <c r="D81" i="1" s="1"/>
  <c r="E81" i="1" s="1"/>
  <c r="F81" i="1" l="1"/>
  <c r="G81" i="1" s="1"/>
  <c r="C82" i="1" s="1"/>
  <c r="D82" i="1" s="1"/>
  <c r="E82" i="1"/>
  <c r="F82" i="1" l="1"/>
  <c r="G82" i="1" s="1"/>
  <c r="C83" i="1" s="1"/>
  <c r="D83" i="1" s="1"/>
  <c r="E83" i="1" s="1"/>
  <c r="F83" i="1" l="1"/>
  <c r="G83" i="1" s="1"/>
  <c r="C84" i="1" s="1"/>
  <c r="D84" i="1" s="1"/>
  <c r="E84" i="1"/>
  <c r="F84" i="1" l="1"/>
  <c r="G84" i="1" s="1"/>
  <c r="C85" i="1" s="1"/>
  <c r="D85" i="1" s="1"/>
  <c r="E85" i="1" s="1"/>
  <c r="F85" i="1" l="1"/>
  <c r="G85" i="1" s="1"/>
  <c r="C86" i="1" s="1"/>
  <c r="D86" i="1" s="1"/>
  <c r="E86" i="1"/>
  <c r="F86" i="1" l="1"/>
  <c r="G86" i="1" s="1"/>
  <c r="C87" i="1" s="1"/>
  <c r="D87" i="1" s="1"/>
  <c r="E87" i="1" s="1"/>
  <c r="F87" i="1" l="1"/>
  <c r="G87" i="1" s="1"/>
  <c r="C88" i="1" s="1"/>
  <c r="D88" i="1" s="1"/>
  <c r="E88" i="1"/>
  <c r="F88" i="1" l="1"/>
  <c r="G88" i="1" s="1"/>
  <c r="C89" i="1" s="1"/>
  <c r="D89" i="1" s="1"/>
  <c r="E89" i="1" s="1"/>
  <c r="F89" i="1" l="1"/>
  <c r="G89" i="1" s="1"/>
  <c r="C90" i="1" s="1"/>
  <c r="D90" i="1" s="1"/>
  <c r="E90" i="1"/>
  <c r="F90" i="1" l="1"/>
  <c r="G90" i="1" s="1"/>
  <c r="C91" i="1" s="1"/>
  <c r="D91" i="1" s="1"/>
  <c r="E91" i="1" s="1"/>
  <c r="F91" i="1" l="1"/>
  <c r="G91" i="1" s="1"/>
  <c r="C92" i="1" s="1"/>
  <c r="D92" i="1" s="1"/>
  <c r="E92" i="1"/>
  <c r="F92" i="1" l="1"/>
  <c r="G92" i="1" s="1"/>
  <c r="C93" i="1" s="1"/>
  <c r="D93" i="1" s="1"/>
  <c r="E93" i="1" s="1"/>
  <c r="F93" i="1" l="1"/>
  <c r="G93" i="1" s="1"/>
  <c r="C94" i="1" s="1"/>
  <c r="D94" i="1" s="1"/>
  <c r="E94" i="1"/>
  <c r="F94" i="1" l="1"/>
  <c r="G94" i="1" s="1"/>
  <c r="C95" i="1" s="1"/>
  <c r="D95" i="1" s="1"/>
  <c r="E95" i="1" s="1"/>
  <c r="F95" i="1" l="1"/>
  <c r="G95" i="1" s="1"/>
  <c r="C96" i="1" s="1"/>
  <c r="D96" i="1" s="1"/>
  <c r="E96" i="1"/>
  <c r="F96" i="1" l="1"/>
  <c r="G96" i="1" s="1"/>
  <c r="C97" i="1" s="1"/>
  <c r="D97" i="1" s="1"/>
  <c r="E97" i="1" s="1"/>
  <c r="F97" i="1" l="1"/>
  <c r="G97" i="1" s="1"/>
  <c r="C98" i="1" s="1"/>
  <c r="D98" i="1" s="1"/>
  <c r="E98" i="1"/>
  <c r="F98" i="1" l="1"/>
  <c r="G98" i="1" s="1"/>
  <c r="C99" i="1" s="1"/>
  <c r="D99" i="1" s="1"/>
  <c r="E99" i="1" s="1"/>
  <c r="F99" i="1" l="1"/>
  <c r="G99" i="1" s="1"/>
  <c r="C100" i="1" s="1"/>
  <c r="D100" i="1" s="1"/>
  <c r="E100" i="1"/>
  <c r="F100" i="1" l="1"/>
  <c r="G100" i="1" s="1"/>
  <c r="C101" i="1" s="1"/>
  <c r="D101" i="1" s="1"/>
  <c r="E101" i="1" s="1"/>
  <c r="F101" i="1" l="1"/>
  <c r="G101" i="1" s="1"/>
  <c r="C102" i="1" s="1"/>
  <c r="D102" i="1" s="1"/>
  <c r="E102" i="1"/>
  <c r="F102" i="1" l="1"/>
  <c r="G102" i="1" s="1"/>
  <c r="C103" i="1" s="1"/>
  <c r="D103" i="1" s="1"/>
  <c r="E103" i="1" s="1"/>
  <c r="F103" i="1" l="1"/>
  <c r="G103" i="1" s="1"/>
  <c r="C104" i="1" s="1"/>
  <c r="D104" i="1" s="1"/>
  <c r="E104" i="1"/>
  <c r="F104" i="1" l="1"/>
  <c r="G104" i="1" s="1"/>
  <c r="C105" i="1" s="1"/>
  <c r="D105" i="1" s="1"/>
  <c r="E105" i="1" s="1"/>
  <c r="F105" i="1" l="1"/>
  <c r="G105" i="1" s="1"/>
  <c r="C106" i="1" s="1"/>
  <c r="D106" i="1" s="1"/>
  <c r="E106" i="1"/>
  <c r="F106" i="1" l="1"/>
  <c r="G106" i="1" s="1"/>
  <c r="C107" i="1" s="1"/>
  <c r="D107" i="1" s="1"/>
  <c r="E107" i="1" s="1"/>
  <c r="F107" i="1" l="1"/>
  <c r="G107" i="1" s="1"/>
  <c r="C108" i="1" s="1"/>
  <c r="D108" i="1" s="1"/>
  <c r="E108" i="1" s="1"/>
  <c r="F108" i="1" l="1"/>
  <c r="G108" i="1" s="1"/>
  <c r="C109" i="1" s="1"/>
  <c r="D109" i="1" s="1"/>
  <c r="E109" i="1" s="1"/>
  <c r="F109" i="1" l="1"/>
  <c r="G109" i="1" s="1"/>
  <c r="C110" i="1" s="1"/>
  <c r="D110" i="1" s="1"/>
  <c r="E110" i="1"/>
  <c r="F110" i="1" l="1"/>
  <c r="G110" i="1" s="1"/>
  <c r="C111" i="1" s="1"/>
  <c r="D111" i="1" s="1"/>
  <c r="E111" i="1" s="1"/>
  <c r="F111" i="1" l="1"/>
  <c r="G111" i="1" s="1"/>
  <c r="C112" i="1" s="1"/>
  <c r="D112" i="1" s="1"/>
  <c r="E112" i="1" s="1"/>
  <c r="F112" i="1" l="1"/>
  <c r="G112" i="1" s="1"/>
  <c r="C113" i="1" s="1"/>
  <c r="D113" i="1" s="1"/>
  <c r="E113" i="1" s="1"/>
  <c r="F113" i="1" l="1"/>
  <c r="G113" i="1" s="1"/>
  <c r="C114" i="1" s="1"/>
  <c r="D114" i="1" s="1"/>
  <c r="E114" i="1"/>
  <c r="F114" i="1" l="1"/>
  <c r="G114" i="1" s="1"/>
  <c r="C115" i="1" s="1"/>
  <c r="D115" i="1" s="1"/>
  <c r="E115" i="1" s="1"/>
  <c r="F115" i="1" l="1"/>
  <c r="G115" i="1" s="1"/>
  <c r="C116" i="1" s="1"/>
  <c r="D116" i="1" s="1"/>
  <c r="E116" i="1"/>
  <c r="F116" i="1" l="1"/>
  <c r="G116" i="1" s="1"/>
  <c r="C117" i="1" s="1"/>
  <c r="D117" i="1" s="1"/>
  <c r="E117" i="1" s="1"/>
  <c r="F117" i="1" l="1"/>
  <c r="G117" i="1" s="1"/>
  <c r="C118" i="1" s="1"/>
  <c r="D118" i="1" s="1"/>
  <c r="E118" i="1"/>
  <c r="F118" i="1" l="1"/>
  <c r="G118" i="1" s="1"/>
  <c r="C119" i="1" s="1"/>
  <c r="D119" i="1" s="1"/>
  <c r="E119" i="1" s="1"/>
  <c r="F119" i="1" l="1"/>
  <c r="G119" i="1" s="1"/>
  <c r="C120" i="1" s="1"/>
  <c r="D120" i="1" s="1"/>
  <c r="E120" i="1"/>
  <c r="F120" i="1" l="1"/>
  <c r="G120" i="1" s="1"/>
  <c r="C121" i="1" s="1"/>
  <c r="D121" i="1" s="1"/>
  <c r="E121" i="1" s="1"/>
  <c r="F121" i="1" l="1"/>
  <c r="G121" i="1" s="1"/>
  <c r="C122" i="1" s="1"/>
  <c r="D122" i="1" s="1"/>
  <c r="E122" i="1"/>
  <c r="F122" i="1" l="1"/>
  <c r="G122" i="1" s="1"/>
  <c r="C123" i="1" s="1"/>
  <c r="D123" i="1" s="1"/>
  <c r="E123" i="1" s="1"/>
  <c r="F123" i="1" l="1"/>
  <c r="G123" i="1" s="1"/>
  <c r="C124" i="1" s="1"/>
  <c r="D124" i="1" s="1"/>
  <c r="E124" i="1"/>
  <c r="F124" i="1" l="1"/>
  <c r="G124" i="1" s="1"/>
  <c r="C125" i="1" s="1"/>
  <c r="D125" i="1" s="1"/>
  <c r="E125" i="1" s="1"/>
  <c r="F125" i="1" l="1"/>
  <c r="G125" i="1" s="1"/>
  <c r="C126" i="1" s="1"/>
  <c r="D126" i="1" s="1"/>
  <c r="E126" i="1"/>
  <c r="F126" i="1" l="1"/>
  <c r="G126" i="1" s="1"/>
  <c r="C127" i="1" s="1"/>
  <c r="D127" i="1" s="1"/>
  <c r="E127" i="1" s="1"/>
  <c r="F127" i="1" l="1"/>
  <c r="G127" i="1" s="1"/>
  <c r="C128" i="1" s="1"/>
  <c r="D128" i="1" s="1"/>
  <c r="E128" i="1"/>
  <c r="F128" i="1" l="1"/>
  <c r="G128" i="1" s="1"/>
  <c r="C129" i="1" s="1"/>
  <c r="D129" i="1" s="1"/>
  <c r="E129" i="1" s="1"/>
  <c r="F129" i="1" l="1"/>
  <c r="G129" i="1" s="1"/>
  <c r="C130" i="1" s="1"/>
  <c r="D130" i="1" s="1"/>
  <c r="E130" i="1"/>
  <c r="F130" i="1" l="1"/>
  <c r="G130" i="1" s="1"/>
  <c r="C131" i="1" s="1"/>
  <c r="D131" i="1" s="1"/>
  <c r="E131" i="1" s="1"/>
  <c r="F131" i="1" s="1"/>
  <c r="G131" i="1" l="1"/>
  <c r="F5" i="1" s="1"/>
  <c r="E5" i="1"/>
</calcChain>
</file>

<file path=xl/sharedStrings.xml><?xml version="1.0" encoding="utf-8"?>
<sst xmlns="http://schemas.openxmlformats.org/spreadsheetml/2006/main" count="35" uniqueCount="35">
  <si>
    <t>SIMULADOR DE INVESTIMENTO EM FIIS</t>
  </si>
  <si>
    <t>1. CONFIGURAÇÃO DA SIMULAÇÃO (PREMISSAS)</t>
  </si>
  <si>
    <t>2. RESULTADOS ACUMULADOS</t>
  </si>
  <si>
    <t>Aporte Inicial:</t>
  </si>
  <si>
    <t>Total de Aportes Diretos</t>
  </si>
  <si>
    <t>Patrimônio Final Estimado</t>
  </si>
  <si>
    <t>Renda Mensal no Último Mês</t>
  </si>
  <si>
    <t>Aporte Mensal:</t>
  </si>
  <si>
    <t>Preço Médio da Cota (R$):</t>
  </si>
  <si>
    <t>Dividend Yield Mensal (%):</t>
  </si>
  <si>
    <t>Período da Simulação (Meses):</t>
  </si>
  <si>
    <t>3. CRONOGRAMA DE EVOLUÇÃO MENSAL</t>
  </si>
  <si>
    <t>Mês</t>
  </si>
  <si>
    <t>Aporte No Mês</t>
  </si>
  <si>
    <t>Dividendos Recebidos</t>
  </si>
  <si>
    <t>Total Reinvestido</t>
  </si>
  <si>
    <t>Cotas Adquiridas</t>
  </si>
  <si>
    <t>Patrimônio Total</t>
  </si>
  <si>
    <t>Renda Mensal Próx. Mês</t>
  </si>
  <si>
    <t>GUIA DE USO DA PLANILHA E CONCEITOS</t>
  </si>
  <si>
    <t>Como Utilizar o Simulador:</t>
  </si>
  <si>
    <t>1. Altere apenas as células destacadas em AMARELO na aba 'Simulador de FIIs'.</t>
  </si>
  <si>
    <t>2. Defina seu aporte inicial (quanto tem hoje para começar).</t>
  </si>
  <si>
    <t>3. Insira o aporte mensal estimado (sua capacidade de poupança/investimento).</t>
  </si>
  <si>
    <t>4. Ajuste o Preço Médio das Cotas e o Dividend Yield Mensal esperado.</t>
  </si>
  <si>
    <t>5. O período simula até 120 meses (10 anos). Ajuste o campo correspondente para ver o impacto exato no mês desejado nos cards de resumo.</t>
  </si>
  <si>
    <t>Principais Conceitos de FIIs para Iniciantes:</t>
  </si>
  <si>
    <t>• Cota:</t>
  </si>
  <si>
    <t>A menor fração de um fundo imobiliário. Ao comprar uma cota, você se torna coproprietário dos imóveis do fundo.</t>
  </si>
  <si>
    <t>• Dividend Yield (DY):</t>
  </si>
  <si>
    <t>O rendimento gerado pelo aluguel dos imóveis dividido pelo preço da cota. Ex: R$ 0,85 de dividendo sobre uma cota de R$ 100 representa um DY de 0,85%.</t>
  </si>
  <si>
    <t>• Efeito Bola de Neve:</t>
  </si>
  <si>
    <t>Ocorre quando os dividendos recebidos são suficientes para comprar novas cotas sem a necessidade de tirar dinheiro do próprio bolso, acelerando o crescimento do patrimônio.</t>
  </si>
  <si>
    <t>• Preço Médio:</t>
  </si>
  <si>
    <t>O valor médio pago por cota ao longo do tempo. É a base para calcular a rentabilidade dos seus proventos.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</si>
</sst>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1F4E79"/>
      <name val="Arial"/>
    </font>
    <font>
      <sz val="10"/>
      <color rgb="FF262626"/>
      <name val="Arial"/>
    </font>
    <font>
      <b/>
      <sz val="10"/>
      <color rgb="FF262626"/>
      <name val="Arial"/>
    </font>
    <font>
      <sz val="9"/>
      <color rgb="FF595959"/>
      <name val="Arial"/>
    </font>
    <font>
      <b/>
      <sz val="18"/>
      <color rgb="FF1F4E79"/>
      <name val="Arial"/>
    </font>
    <font>
      <b/>
      <sz val="10"/>
      <color rgb="FFFFFFFF"/>
      <name val="Arial"/>
    </font>
    <font>
      <b/>
      <sz val="14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2F5597"/>
        <bgColor rgb="FF2F5597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164" fontId="4" fillId="3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right"/>
    </xf>
    <xf numFmtId="165" fontId="3" fillId="6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8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showGridLines="0" tabSelected="1" workbookViewId="0">
      <selection activeCell="A11" sqref="A11"/>
    </sheetView>
  </sheetViews>
  <sheetFormatPr defaultRowHeight="14.4" x14ac:dyDescent="0.3"/>
  <cols>
    <col min="1" max="1" width="28" customWidth="1"/>
    <col min="2" max="2" width="16" customWidth="1"/>
    <col min="3" max="3" width="20" customWidth="1"/>
    <col min="4" max="4" width="24" customWidth="1"/>
    <col min="5" max="5" width="26.77734375" bestFit="1" customWidth="1"/>
    <col min="6" max="7" width="24" customWidth="1"/>
  </cols>
  <sheetData>
    <row r="1" spans="1:7" ht="40.049999999999997" customHeight="1" x14ac:dyDescent="0.3">
      <c r="A1" s="18" t="s">
        <v>0</v>
      </c>
      <c r="B1" s="19"/>
      <c r="C1" s="19"/>
      <c r="D1" s="19"/>
      <c r="E1" s="19"/>
      <c r="F1" s="19"/>
      <c r="G1" s="19"/>
    </row>
    <row r="3" spans="1:7" ht="15.6" x14ac:dyDescent="0.3">
      <c r="A3" s="1" t="s">
        <v>1</v>
      </c>
      <c r="D3" s="1" t="s">
        <v>2</v>
      </c>
    </row>
    <row r="4" spans="1:7" ht="18" customHeight="1" x14ac:dyDescent="0.3">
      <c r="A4" s="2" t="s">
        <v>3</v>
      </c>
      <c r="B4" s="3">
        <v>10000</v>
      </c>
      <c r="D4" s="4" t="s">
        <v>4</v>
      </c>
      <c r="E4" s="4" t="s">
        <v>5</v>
      </c>
      <c r="F4" s="4" t="s">
        <v>6</v>
      </c>
    </row>
    <row r="5" spans="1:7" ht="28.05" customHeight="1" x14ac:dyDescent="0.3">
      <c r="A5" s="2" t="s">
        <v>7</v>
      </c>
      <c r="B5" s="3">
        <v>5000</v>
      </c>
      <c r="D5" s="5">
        <f>B4+(B5*(B8))</f>
        <v>610000</v>
      </c>
      <c r="E5" s="5">
        <f>INDEX(F12:F140,MATCH(B8,A12:A140,0))</f>
        <v>1063418.9841006587</v>
      </c>
      <c r="F5" s="5">
        <f>INDEX(G12:G140,MATCH(B8,A12:A140,0))</f>
        <v>9039.0613648555991</v>
      </c>
    </row>
    <row r="6" spans="1:7" x14ac:dyDescent="0.3">
      <c r="A6" s="2" t="s">
        <v>8</v>
      </c>
      <c r="B6" s="3">
        <v>100</v>
      </c>
    </row>
    <row r="7" spans="1:7" x14ac:dyDescent="0.3">
      <c r="A7" s="2" t="s">
        <v>9</v>
      </c>
      <c r="B7" s="6">
        <v>8.5000000000000006E-3</v>
      </c>
    </row>
    <row r="8" spans="1:7" x14ac:dyDescent="0.3">
      <c r="A8" s="2" t="s">
        <v>10</v>
      </c>
      <c r="B8" s="7">
        <v>120</v>
      </c>
    </row>
    <row r="10" spans="1:7" ht="15.6" x14ac:dyDescent="0.3">
      <c r="A10" s="1" t="s">
        <v>11</v>
      </c>
    </row>
    <row r="11" spans="1:7" ht="25.05" customHeight="1" x14ac:dyDescent="0.3">
      <c r="A11" s="8" t="s">
        <v>12</v>
      </c>
      <c r="B11" s="8" t="s">
        <v>13</v>
      </c>
      <c r="C11" s="8" t="s">
        <v>14</v>
      </c>
      <c r="D11" s="8" t="s">
        <v>15</v>
      </c>
      <c r="E11" s="8" t="s">
        <v>16</v>
      </c>
      <c r="F11" s="8" t="s">
        <v>17</v>
      </c>
      <c r="G11" s="8" t="s">
        <v>18</v>
      </c>
    </row>
    <row r="12" spans="1:7" x14ac:dyDescent="0.3">
      <c r="A12" s="9">
        <v>1</v>
      </c>
      <c r="B12" s="10">
        <f>B4+B5</f>
        <v>15000</v>
      </c>
      <c r="C12" s="10">
        <v>0</v>
      </c>
      <c r="D12" s="10">
        <f t="shared" ref="D12:D43" si="0">B12+C12</f>
        <v>15000</v>
      </c>
      <c r="E12" s="11">
        <f>D12/$B$6</f>
        <v>150</v>
      </c>
      <c r="F12" s="10">
        <f t="shared" ref="F12:F43" si="1">E12*$B$6</f>
        <v>15000</v>
      </c>
      <c r="G12" s="10">
        <f t="shared" ref="G12:G43" si="2">F12*$B$7</f>
        <v>127.50000000000001</v>
      </c>
    </row>
    <row r="13" spans="1:7" x14ac:dyDescent="0.3">
      <c r="A13" s="12">
        <v>2</v>
      </c>
      <c r="B13" s="13">
        <f t="shared" ref="B13:B44" si="3">$B$5</f>
        <v>5000</v>
      </c>
      <c r="C13" s="13">
        <f t="shared" ref="C13:C44" si="4">G12</f>
        <v>127.50000000000001</v>
      </c>
      <c r="D13" s="13">
        <f t="shared" si="0"/>
        <v>5127.5</v>
      </c>
      <c r="E13" s="14">
        <f t="shared" ref="E13:E44" si="5">E12+(D13/$B$6)</f>
        <v>201.27500000000001</v>
      </c>
      <c r="F13" s="13">
        <f t="shared" si="1"/>
        <v>20127.5</v>
      </c>
      <c r="G13" s="13">
        <f t="shared" si="2"/>
        <v>171.08375000000001</v>
      </c>
    </row>
    <row r="14" spans="1:7" x14ac:dyDescent="0.3">
      <c r="A14" s="9">
        <v>3</v>
      </c>
      <c r="B14" s="10">
        <f t="shared" si="3"/>
        <v>5000</v>
      </c>
      <c r="C14" s="10">
        <f t="shared" si="4"/>
        <v>171.08375000000001</v>
      </c>
      <c r="D14" s="10">
        <f t="shared" si="0"/>
        <v>5171.0837499999998</v>
      </c>
      <c r="E14" s="11">
        <f t="shared" si="5"/>
        <v>252.9858375</v>
      </c>
      <c r="F14" s="10">
        <f t="shared" si="1"/>
        <v>25298.583750000002</v>
      </c>
      <c r="G14" s="10">
        <f t="shared" si="2"/>
        <v>215.03796187500004</v>
      </c>
    </row>
    <row r="15" spans="1:7" x14ac:dyDescent="0.3">
      <c r="A15" s="12">
        <v>4</v>
      </c>
      <c r="B15" s="13">
        <f t="shared" si="3"/>
        <v>5000</v>
      </c>
      <c r="C15" s="13">
        <f t="shared" si="4"/>
        <v>215.03796187500004</v>
      </c>
      <c r="D15" s="13">
        <f t="shared" si="0"/>
        <v>5215.0379618750003</v>
      </c>
      <c r="E15" s="14">
        <f t="shared" si="5"/>
        <v>305.13621711874998</v>
      </c>
      <c r="F15" s="13">
        <f t="shared" si="1"/>
        <v>30513.621711874999</v>
      </c>
      <c r="G15" s="13">
        <f t="shared" si="2"/>
        <v>259.36578455093752</v>
      </c>
    </row>
    <row r="16" spans="1:7" x14ac:dyDescent="0.3">
      <c r="A16" s="9">
        <v>5</v>
      </c>
      <c r="B16" s="10">
        <f t="shared" si="3"/>
        <v>5000</v>
      </c>
      <c r="C16" s="10">
        <f t="shared" si="4"/>
        <v>259.36578455093752</v>
      </c>
      <c r="D16" s="10">
        <f t="shared" si="0"/>
        <v>5259.3657845509379</v>
      </c>
      <c r="E16" s="11">
        <f t="shared" si="5"/>
        <v>357.72987496425935</v>
      </c>
      <c r="F16" s="10">
        <f t="shared" si="1"/>
        <v>35772.987496425936</v>
      </c>
      <c r="G16" s="10">
        <f t="shared" si="2"/>
        <v>304.07039371962048</v>
      </c>
    </row>
    <row r="17" spans="1:7" x14ac:dyDescent="0.3">
      <c r="A17" s="12">
        <v>6</v>
      </c>
      <c r="B17" s="13">
        <f t="shared" si="3"/>
        <v>5000</v>
      </c>
      <c r="C17" s="13">
        <f t="shared" si="4"/>
        <v>304.07039371962048</v>
      </c>
      <c r="D17" s="13">
        <f t="shared" si="0"/>
        <v>5304.0703937196204</v>
      </c>
      <c r="E17" s="14">
        <f t="shared" si="5"/>
        <v>410.77057890145556</v>
      </c>
      <c r="F17" s="13">
        <f t="shared" si="1"/>
        <v>41077.057890145559</v>
      </c>
      <c r="G17" s="13">
        <f t="shared" si="2"/>
        <v>349.1549920662373</v>
      </c>
    </row>
    <row r="18" spans="1:7" x14ac:dyDescent="0.3">
      <c r="A18" s="9">
        <v>7</v>
      </c>
      <c r="B18" s="10">
        <f t="shared" si="3"/>
        <v>5000</v>
      </c>
      <c r="C18" s="10">
        <f t="shared" si="4"/>
        <v>349.1549920662373</v>
      </c>
      <c r="D18" s="10">
        <f t="shared" si="0"/>
        <v>5349.1549920662374</v>
      </c>
      <c r="E18" s="11">
        <f t="shared" si="5"/>
        <v>464.26212882211792</v>
      </c>
      <c r="F18" s="10">
        <f t="shared" si="1"/>
        <v>46426.212882211788</v>
      </c>
      <c r="G18" s="10">
        <f t="shared" si="2"/>
        <v>394.62280949880022</v>
      </c>
    </row>
    <row r="19" spans="1:7" x14ac:dyDescent="0.3">
      <c r="A19" s="12">
        <v>8</v>
      </c>
      <c r="B19" s="13">
        <f t="shared" si="3"/>
        <v>5000</v>
      </c>
      <c r="C19" s="13">
        <f t="shared" si="4"/>
        <v>394.62280949880022</v>
      </c>
      <c r="D19" s="13">
        <f t="shared" si="0"/>
        <v>5394.6228094988001</v>
      </c>
      <c r="E19" s="14">
        <f t="shared" si="5"/>
        <v>518.2083569171059</v>
      </c>
      <c r="F19" s="13">
        <f t="shared" si="1"/>
        <v>51820.835691710592</v>
      </c>
      <c r="G19" s="13">
        <f t="shared" si="2"/>
        <v>440.47710337954004</v>
      </c>
    </row>
    <row r="20" spans="1:7" x14ac:dyDescent="0.3">
      <c r="A20" s="9">
        <v>9</v>
      </c>
      <c r="B20" s="10">
        <f t="shared" si="3"/>
        <v>5000</v>
      </c>
      <c r="C20" s="10">
        <f t="shared" si="4"/>
        <v>440.47710337954004</v>
      </c>
      <c r="D20" s="10">
        <f t="shared" si="0"/>
        <v>5440.4771033795405</v>
      </c>
      <c r="E20" s="11">
        <f t="shared" si="5"/>
        <v>572.61312795090134</v>
      </c>
      <c r="F20" s="10">
        <f t="shared" si="1"/>
        <v>57261.312795090133</v>
      </c>
      <c r="G20" s="10">
        <f t="shared" si="2"/>
        <v>486.72115875826614</v>
      </c>
    </row>
    <row r="21" spans="1:7" x14ac:dyDescent="0.3">
      <c r="A21" s="12">
        <v>10</v>
      </c>
      <c r="B21" s="13">
        <f t="shared" si="3"/>
        <v>5000</v>
      </c>
      <c r="C21" s="13">
        <f t="shared" si="4"/>
        <v>486.72115875826614</v>
      </c>
      <c r="D21" s="13">
        <f t="shared" si="0"/>
        <v>5486.721158758266</v>
      </c>
      <c r="E21" s="14">
        <f t="shared" si="5"/>
        <v>627.48033953848403</v>
      </c>
      <c r="F21" s="13">
        <f t="shared" si="1"/>
        <v>62748.033953848404</v>
      </c>
      <c r="G21" s="13">
        <f t="shared" si="2"/>
        <v>533.35828860771153</v>
      </c>
    </row>
    <row r="22" spans="1:7" x14ac:dyDescent="0.3">
      <c r="A22" s="9">
        <v>11</v>
      </c>
      <c r="B22" s="10">
        <f t="shared" si="3"/>
        <v>5000</v>
      </c>
      <c r="C22" s="10">
        <f t="shared" si="4"/>
        <v>533.35828860771153</v>
      </c>
      <c r="D22" s="10">
        <f t="shared" si="0"/>
        <v>5533.3582886077111</v>
      </c>
      <c r="E22" s="11">
        <f t="shared" si="5"/>
        <v>682.81392242456116</v>
      </c>
      <c r="F22" s="10">
        <f t="shared" si="1"/>
        <v>68281.392242456117</v>
      </c>
      <c r="G22" s="10">
        <f t="shared" si="2"/>
        <v>580.39183406087704</v>
      </c>
    </row>
    <row r="23" spans="1:7" x14ac:dyDescent="0.3">
      <c r="A23" s="12">
        <v>12</v>
      </c>
      <c r="B23" s="13">
        <f t="shared" si="3"/>
        <v>5000</v>
      </c>
      <c r="C23" s="13">
        <f t="shared" si="4"/>
        <v>580.39183406087704</v>
      </c>
      <c r="D23" s="13">
        <f t="shared" si="0"/>
        <v>5580.391834060877</v>
      </c>
      <c r="E23" s="14">
        <f t="shared" si="5"/>
        <v>738.61784076516994</v>
      </c>
      <c r="F23" s="13">
        <f t="shared" si="1"/>
        <v>73861.784076516997</v>
      </c>
      <c r="G23" s="13">
        <f t="shared" si="2"/>
        <v>627.82516465039453</v>
      </c>
    </row>
    <row r="24" spans="1:7" x14ac:dyDescent="0.3">
      <c r="A24" s="9">
        <v>13</v>
      </c>
      <c r="B24" s="10">
        <f t="shared" si="3"/>
        <v>5000</v>
      </c>
      <c r="C24" s="10">
        <f t="shared" si="4"/>
        <v>627.82516465039453</v>
      </c>
      <c r="D24" s="10">
        <f t="shared" si="0"/>
        <v>5627.8251646503941</v>
      </c>
      <c r="E24" s="11">
        <f t="shared" si="5"/>
        <v>794.89609241167386</v>
      </c>
      <c r="F24" s="10">
        <f t="shared" si="1"/>
        <v>79489.609241167389</v>
      </c>
      <c r="G24" s="10">
        <f t="shared" si="2"/>
        <v>675.66167854992284</v>
      </c>
    </row>
    <row r="25" spans="1:7" x14ac:dyDescent="0.3">
      <c r="A25" s="12">
        <v>14</v>
      </c>
      <c r="B25" s="13">
        <f t="shared" si="3"/>
        <v>5000</v>
      </c>
      <c r="C25" s="13">
        <f t="shared" si="4"/>
        <v>675.66167854992284</v>
      </c>
      <c r="D25" s="13">
        <f t="shared" si="0"/>
        <v>5675.6616785499227</v>
      </c>
      <c r="E25" s="14">
        <f t="shared" si="5"/>
        <v>851.65270919717307</v>
      </c>
      <c r="F25" s="13">
        <f t="shared" si="1"/>
        <v>85165.27091971731</v>
      </c>
      <c r="G25" s="13">
        <f t="shared" si="2"/>
        <v>723.90480281759721</v>
      </c>
    </row>
    <row r="26" spans="1:7" x14ac:dyDescent="0.3">
      <c r="A26" s="9">
        <v>15</v>
      </c>
      <c r="B26" s="10">
        <f t="shared" si="3"/>
        <v>5000</v>
      </c>
      <c r="C26" s="10">
        <f t="shared" si="4"/>
        <v>723.90480281759721</v>
      </c>
      <c r="D26" s="10">
        <f t="shared" si="0"/>
        <v>5723.9048028175976</v>
      </c>
      <c r="E26" s="11">
        <f t="shared" si="5"/>
        <v>908.89175722534901</v>
      </c>
      <c r="F26" s="10">
        <f t="shared" si="1"/>
        <v>90889.175722534899</v>
      </c>
      <c r="G26" s="10">
        <f t="shared" si="2"/>
        <v>772.55799364154666</v>
      </c>
    </row>
    <row r="27" spans="1:7" x14ac:dyDescent="0.3">
      <c r="A27" s="12">
        <v>16</v>
      </c>
      <c r="B27" s="13">
        <f t="shared" si="3"/>
        <v>5000</v>
      </c>
      <c r="C27" s="13">
        <f t="shared" si="4"/>
        <v>772.55799364154666</v>
      </c>
      <c r="D27" s="13">
        <f t="shared" si="0"/>
        <v>5772.557993641547</v>
      </c>
      <c r="E27" s="14">
        <f t="shared" si="5"/>
        <v>966.61733716176445</v>
      </c>
      <c r="F27" s="13">
        <f t="shared" si="1"/>
        <v>96661.733716176444</v>
      </c>
      <c r="G27" s="13">
        <f t="shared" si="2"/>
        <v>821.6247365874998</v>
      </c>
    </row>
    <row r="28" spans="1:7" x14ac:dyDescent="0.3">
      <c r="A28" s="9">
        <v>17</v>
      </c>
      <c r="B28" s="10">
        <f t="shared" si="3"/>
        <v>5000</v>
      </c>
      <c r="C28" s="10">
        <f t="shared" si="4"/>
        <v>821.6247365874998</v>
      </c>
      <c r="D28" s="10">
        <f t="shared" si="0"/>
        <v>5821.6247365874997</v>
      </c>
      <c r="E28" s="11">
        <f t="shared" si="5"/>
        <v>1024.8335845276395</v>
      </c>
      <c r="F28" s="10">
        <f t="shared" si="1"/>
        <v>102483.35845276395</v>
      </c>
      <c r="G28" s="10">
        <f t="shared" si="2"/>
        <v>871.10854684849357</v>
      </c>
    </row>
    <row r="29" spans="1:7" x14ac:dyDescent="0.3">
      <c r="A29" s="12">
        <v>18</v>
      </c>
      <c r="B29" s="13">
        <f t="shared" si="3"/>
        <v>5000</v>
      </c>
      <c r="C29" s="13">
        <f t="shared" si="4"/>
        <v>871.10854684849357</v>
      </c>
      <c r="D29" s="13">
        <f t="shared" si="0"/>
        <v>5871.1085468484935</v>
      </c>
      <c r="E29" s="14">
        <f t="shared" si="5"/>
        <v>1083.5446699961244</v>
      </c>
      <c r="F29" s="13">
        <f t="shared" si="1"/>
        <v>108354.46699961244</v>
      </c>
      <c r="G29" s="13">
        <f t="shared" si="2"/>
        <v>921.01296949670586</v>
      </c>
    </row>
    <row r="30" spans="1:7" x14ac:dyDescent="0.3">
      <c r="A30" s="9">
        <v>19</v>
      </c>
      <c r="B30" s="10">
        <f t="shared" si="3"/>
        <v>5000</v>
      </c>
      <c r="C30" s="10">
        <f t="shared" si="4"/>
        <v>921.01296949670586</v>
      </c>
      <c r="D30" s="10">
        <f t="shared" si="0"/>
        <v>5921.0129694967054</v>
      </c>
      <c r="E30" s="11">
        <f t="shared" si="5"/>
        <v>1142.7547996910914</v>
      </c>
      <c r="F30" s="10">
        <f t="shared" si="1"/>
        <v>114275.47996910915</v>
      </c>
      <c r="G30" s="10">
        <f t="shared" si="2"/>
        <v>971.34157973742776</v>
      </c>
    </row>
    <row r="31" spans="1:7" x14ac:dyDescent="0.3">
      <c r="A31" s="12">
        <v>20</v>
      </c>
      <c r="B31" s="13">
        <f t="shared" si="3"/>
        <v>5000</v>
      </c>
      <c r="C31" s="13">
        <f t="shared" si="4"/>
        <v>971.34157973742776</v>
      </c>
      <c r="D31" s="13">
        <f t="shared" si="0"/>
        <v>5971.3415797374273</v>
      </c>
      <c r="E31" s="14">
        <f t="shared" si="5"/>
        <v>1202.4682154884656</v>
      </c>
      <c r="F31" s="13">
        <f t="shared" si="1"/>
        <v>120246.82154884656</v>
      </c>
      <c r="G31" s="13">
        <f t="shared" si="2"/>
        <v>1022.0979831651958</v>
      </c>
    </row>
    <row r="32" spans="1:7" x14ac:dyDescent="0.3">
      <c r="A32" s="9">
        <v>21</v>
      </c>
      <c r="B32" s="10">
        <f t="shared" si="3"/>
        <v>5000</v>
      </c>
      <c r="C32" s="10">
        <f t="shared" si="4"/>
        <v>1022.0979831651958</v>
      </c>
      <c r="D32" s="10">
        <f t="shared" si="0"/>
        <v>6022.0979831651957</v>
      </c>
      <c r="E32" s="11">
        <f t="shared" si="5"/>
        <v>1262.6891953201175</v>
      </c>
      <c r="F32" s="10">
        <f t="shared" si="1"/>
        <v>126268.91953201176</v>
      </c>
      <c r="G32" s="10">
        <f t="shared" si="2"/>
        <v>1073.2858160221001</v>
      </c>
    </row>
    <row r="33" spans="1:7" x14ac:dyDescent="0.3">
      <c r="A33" s="12">
        <v>22</v>
      </c>
      <c r="B33" s="13">
        <f t="shared" si="3"/>
        <v>5000</v>
      </c>
      <c r="C33" s="13">
        <f t="shared" si="4"/>
        <v>1073.2858160221001</v>
      </c>
      <c r="D33" s="13">
        <f t="shared" si="0"/>
        <v>6073.2858160221003</v>
      </c>
      <c r="E33" s="14">
        <f t="shared" si="5"/>
        <v>1323.4220534803385</v>
      </c>
      <c r="F33" s="13">
        <f t="shared" si="1"/>
        <v>132342.20534803384</v>
      </c>
      <c r="G33" s="13">
        <f t="shared" si="2"/>
        <v>1124.9087454582877</v>
      </c>
    </row>
    <row r="34" spans="1:7" x14ac:dyDescent="0.3">
      <c r="A34" s="9">
        <v>23</v>
      </c>
      <c r="B34" s="10">
        <f t="shared" si="3"/>
        <v>5000</v>
      </c>
      <c r="C34" s="10">
        <f t="shared" si="4"/>
        <v>1124.9087454582877</v>
      </c>
      <c r="D34" s="10">
        <f t="shared" si="0"/>
        <v>6124.9087454582877</v>
      </c>
      <c r="E34" s="11">
        <f t="shared" si="5"/>
        <v>1384.6711409349214</v>
      </c>
      <c r="F34" s="10">
        <f t="shared" si="1"/>
        <v>138467.11409349213</v>
      </c>
      <c r="G34" s="10">
        <f t="shared" si="2"/>
        <v>1176.9704697946831</v>
      </c>
    </row>
    <row r="35" spans="1:7" x14ac:dyDescent="0.3">
      <c r="A35" s="12">
        <v>24</v>
      </c>
      <c r="B35" s="13">
        <f t="shared" si="3"/>
        <v>5000</v>
      </c>
      <c r="C35" s="13">
        <f t="shared" si="4"/>
        <v>1176.9704697946831</v>
      </c>
      <c r="D35" s="13">
        <f t="shared" si="0"/>
        <v>6176.9704697946836</v>
      </c>
      <c r="E35" s="14">
        <f t="shared" si="5"/>
        <v>1446.4408456328681</v>
      </c>
      <c r="F35" s="13">
        <f t="shared" si="1"/>
        <v>144644.0845632868</v>
      </c>
      <c r="G35" s="13">
        <f t="shared" si="2"/>
        <v>1229.4747187879379</v>
      </c>
    </row>
    <row r="36" spans="1:7" x14ac:dyDescent="0.3">
      <c r="A36" s="9">
        <v>25</v>
      </c>
      <c r="B36" s="10">
        <f t="shared" si="3"/>
        <v>5000</v>
      </c>
      <c r="C36" s="10">
        <f t="shared" si="4"/>
        <v>1229.4747187879379</v>
      </c>
      <c r="D36" s="10">
        <f t="shared" si="0"/>
        <v>6229.4747187879384</v>
      </c>
      <c r="E36" s="11">
        <f t="shared" si="5"/>
        <v>1508.7355928207476</v>
      </c>
      <c r="F36" s="10">
        <f t="shared" si="1"/>
        <v>150873.55928207477</v>
      </c>
      <c r="G36" s="10">
        <f t="shared" si="2"/>
        <v>1282.4252538976357</v>
      </c>
    </row>
    <row r="37" spans="1:7" x14ac:dyDescent="0.3">
      <c r="A37" s="12">
        <v>26</v>
      </c>
      <c r="B37" s="13">
        <f t="shared" si="3"/>
        <v>5000</v>
      </c>
      <c r="C37" s="13">
        <f t="shared" si="4"/>
        <v>1282.4252538976357</v>
      </c>
      <c r="D37" s="13">
        <f t="shared" si="0"/>
        <v>6282.4252538976361</v>
      </c>
      <c r="E37" s="14">
        <f t="shared" si="5"/>
        <v>1571.559845359724</v>
      </c>
      <c r="F37" s="13">
        <f t="shared" si="1"/>
        <v>157155.98453597241</v>
      </c>
      <c r="G37" s="13">
        <f t="shared" si="2"/>
        <v>1335.8258685557655</v>
      </c>
    </row>
    <row r="38" spans="1:7" x14ac:dyDescent="0.3">
      <c r="A38" s="9">
        <v>27</v>
      </c>
      <c r="B38" s="10">
        <f t="shared" si="3"/>
        <v>5000</v>
      </c>
      <c r="C38" s="10">
        <f t="shared" si="4"/>
        <v>1335.8258685557655</v>
      </c>
      <c r="D38" s="10">
        <f t="shared" si="0"/>
        <v>6335.8258685557657</v>
      </c>
      <c r="E38" s="11">
        <f t="shared" si="5"/>
        <v>1634.9181040452818</v>
      </c>
      <c r="F38" s="10">
        <f t="shared" si="1"/>
        <v>163491.81040452817</v>
      </c>
      <c r="G38" s="10">
        <f t="shared" si="2"/>
        <v>1389.6803884384894</v>
      </c>
    </row>
    <row r="39" spans="1:7" x14ac:dyDescent="0.3">
      <c r="A39" s="12">
        <v>28</v>
      </c>
      <c r="B39" s="13">
        <f t="shared" si="3"/>
        <v>5000</v>
      </c>
      <c r="C39" s="13">
        <f t="shared" si="4"/>
        <v>1389.6803884384894</v>
      </c>
      <c r="D39" s="13">
        <f t="shared" si="0"/>
        <v>6389.6803884384899</v>
      </c>
      <c r="E39" s="14">
        <f t="shared" si="5"/>
        <v>1698.8149079296668</v>
      </c>
      <c r="F39" s="13">
        <f t="shared" si="1"/>
        <v>169881.49079296668</v>
      </c>
      <c r="G39" s="13">
        <f t="shared" si="2"/>
        <v>1443.9926717402168</v>
      </c>
    </row>
    <row r="40" spans="1:7" x14ac:dyDescent="0.3">
      <c r="A40" s="9">
        <v>29</v>
      </c>
      <c r="B40" s="10">
        <f t="shared" si="3"/>
        <v>5000</v>
      </c>
      <c r="C40" s="10">
        <f t="shared" si="4"/>
        <v>1443.9926717402168</v>
      </c>
      <c r="D40" s="10">
        <f t="shared" si="0"/>
        <v>6443.9926717402168</v>
      </c>
      <c r="E40" s="11">
        <f t="shared" si="5"/>
        <v>1763.2548346470689</v>
      </c>
      <c r="F40" s="10">
        <f t="shared" si="1"/>
        <v>176325.48346470689</v>
      </c>
      <c r="G40" s="10">
        <f t="shared" si="2"/>
        <v>1498.7666094500087</v>
      </c>
    </row>
    <row r="41" spans="1:7" x14ac:dyDescent="0.3">
      <c r="A41" s="12">
        <v>30</v>
      </c>
      <c r="B41" s="13">
        <f t="shared" si="3"/>
        <v>5000</v>
      </c>
      <c r="C41" s="13">
        <f t="shared" si="4"/>
        <v>1498.7666094500087</v>
      </c>
      <c r="D41" s="13">
        <f t="shared" si="0"/>
        <v>6498.7666094500091</v>
      </c>
      <c r="E41" s="14">
        <f t="shared" si="5"/>
        <v>1828.2425007415691</v>
      </c>
      <c r="F41" s="13">
        <f t="shared" si="1"/>
        <v>182824.25007415691</v>
      </c>
      <c r="G41" s="13">
        <f t="shared" si="2"/>
        <v>1554.0061256303338</v>
      </c>
    </row>
    <row r="42" spans="1:7" x14ac:dyDescent="0.3">
      <c r="A42" s="9">
        <v>31</v>
      </c>
      <c r="B42" s="10">
        <f t="shared" si="3"/>
        <v>5000</v>
      </c>
      <c r="C42" s="10">
        <f t="shared" si="4"/>
        <v>1554.0061256303338</v>
      </c>
      <c r="D42" s="10">
        <f t="shared" si="0"/>
        <v>6554.0061256303343</v>
      </c>
      <c r="E42" s="11">
        <f t="shared" si="5"/>
        <v>1893.7825619978723</v>
      </c>
      <c r="F42" s="10">
        <f t="shared" si="1"/>
        <v>189378.25619978723</v>
      </c>
      <c r="G42" s="10">
        <f t="shared" si="2"/>
        <v>1609.7151776981916</v>
      </c>
    </row>
    <row r="43" spans="1:7" x14ac:dyDescent="0.3">
      <c r="A43" s="12">
        <v>32</v>
      </c>
      <c r="B43" s="13">
        <f t="shared" si="3"/>
        <v>5000</v>
      </c>
      <c r="C43" s="13">
        <f t="shared" si="4"/>
        <v>1609.7151776981916</v>
      </c>
      <c r="D43" s="13">
        <f t="shared" si="0"/>
        <v>6609.7151776981918</v>
      </c>
      <c r="E43" s="14">
        <f t="shared" si="5"/>
        <v>1959.8797137748543</v>
      </c>
      <c r="F43" s="13">
        <f t="shared" si="1"/>
        <v>195987.97137748543</v>
      </c>
      <c r="G43" s="13">
        <f t="shared" si="2"/>
        <v>1665.8977567086263</v>
      </c>
    </row>
    <row r="44" spans="1:7" x14ac:dyDescent="0.3">
      <c r="A44" s="9">
        <v>33</v>
      </c>
      <c r="B44" s="10">
        <f t="shared" si="3"/>
        <v>5000</v>
      </c>
      <c r="C44" s="10">
        <f t="shared" si="4"/>
        <v>1665.8977567086263</v>
      </c>
      <c r="D44" s="10">
        <f t="shared" ref="D44:D75" si="6">B44+C44</f>
        <v>6665.8977567086258</v>
      </c>
      <c r="E44" s="11">
        <f t="shared" si="5"/>
        <v>2026.5386913419406</v>
      </c>
      <c r="F44" s="10">
        <f t="shared" ref="F44:F75" si="7">E44*$B$6</f>
        <v>202653.86913419407</v>
      </c>
      <c r="G44" s="10">
        <f t="shared" ref="G44:G75" si="8">F44*$B$7</f>
        <v>1722.5578876406498</v>
      </c>
    </row>
    <row r="45" spans="1:7" x14ac:dyDescent="0.3">
      <c r="A45" s="12">
        <v>34</v>
      </c>
      <c r="B45" s="13">
        <f t="shared" ref="B45:B76" si="9">$B$5</f>
        <v>5000</v>
      </c>
      <c r="C45" s="13">
        <f t="shared" ref="C45:C76" si="10">G44</f>
        <v>1722.5578876406498</v>
      </c>
      <c r="D45" s="13">
        <f t="shared" si="6"/>
        <v>6722.5578876406498</v>
      </c>
      <c r="E45" s="14">
        <f t="shared" ref="E45:E76" si="11">E44+(D45/$B$6)</f>
        <v>2093.7642702183471</v>
      </c>
      <c r="F45" s="13">
        <f t="shared" si="7"/>
        <v>209376.42702183471</v>
      </c>
      <c r="G45" s="13">
        <f t="shared" si="8"/>
        <v>1779.6996296855953</v>
      </c>
    </row>
    <row r="46" spans="1:7" x14ac:dyDescent="0.3">
      <c r="A46" s="9">
        <v>35</v>
      </c>
      <c r="B46" s="10">
        <f t="shared" si="9"/>
        <v>5000</v>
      </c>
      <c r="C46" s="10">
        <f t="shared" si="10"/>
        <v>1779.6996296855953</v>
      </c>
      <c r="D46" s="10">
        <f t="shared" si="6"/>
        <v>6779.699629685595</v>
      </c>
      <c r="E46" s="11">
        <f t="shared" si="11"/>
        <v>2161.561266515203</v>
      </c>
      <c r="F46" s="10">
        <f t="shared" si="7"/>
        <v>216156.12665152029</v>
      </c>
      <c r="G46" s="10">
        <f t="shared" si="8"/>
        <v>1837.3270765379225</v>
      </c>
    </row>
    <row r="47" spans="1:7" x14ac:dyDescent="0.3">
      <c r="A47" s="12">
        <v>36</v>
      </c>
      <c r="B47" s="13">
        <f t="shared" si="9"/>
        <v>5000</v>
      </c>
      <c r="C47" s="13">
        <f t="shared" si="10"/>
        <v>1837.3270765379225</v>
      </c>
      <c r="D47" s="13">
        <f t="shared" si="6"/>
        <v>6837.327076537922</v>
      </c>
      <c r="E47" s="14">
        <f t="shared" si="11"/>
        <v>2229.9345372805824</v>
      </c>
      <c r="F47" s="13">
        <f t="shared" si="7"/>
        <v>222993.45372805823</v>
      </c>
      <c r="G47" s="13">
        <f t="shared" si="8"/>
        <v>1895.4443566884952</v>
      </c>
    </row>
    <row r="48" spans="1:7" x14ac:dyDescent="0.3">
      <c r="A48" s="9">
        <v>37</v>
      </c>
      <c r="B48" s="10">
        <f t="shared" si="9"/>
        <v>5000</v>
      </c>
      <c r="C48" s="10">
        <f t="shared" si="10"/>
        <v>1895.4443566884952</v>
      </c>
      <c r="D48" s="10">
        <f t="shared" si="6"/>
        <v>6895.4443566884947</v>
      </c>
      <c r="E48" s="11">
        <f t="shared" si="11"/>
        <v>2298.8889808474673</v>
      </c>
      <c r="F48" s="10">
        <f t="shared" si="7"/>
        <v>229888.89808474673</v>
      </c>
      <c r="G48" s="10">
        <f t="shared" si="8"/>
        <v>1954.0556337203473</v>
      </c>
    </row>
    <row r="49" spans="1:7" x14ac:dyDescent="0.3">
      <c r="A49" s="12">
        <v>38</v>
      </c>
      <c r="B49" s="13">
        <f t="shared" si="9"/>
        <v>5000</v>
      </c>
      <c r="C49" s="13">
        <f t="shared" si="10"/>
        <v>1954.0556337203473</v>
      </c>
      <c r="D49" s="13">
        <f t="shared" si="6"/>
        <v>6954.055633720347</v>
      </c>
      <c r="E49" s="14">
        <f t="shared" si="11"/>
        <v>2368.4295371846706</v>
      </c>
      <c r="F49" s="13">
        <f t="shared" si="7"/>
        <v>236842.95371846706</v>
      </c>
      <c r="G49" s="13">
        <f t="shared" si="8"/>
        <v>2013.1651066069701</v>
      </c>
    </row>
    <row r="50" spans="1:7" x14ac:dyDescent="0.3">
      <c r="A50" s="9">
        <v>39</v>
      </c>
      <c r="B50" s="10">
        <f t="shared" si="9"/>
        <v>5000</v>
      </c>
      <c r="C50" s="10">
        <f t="shared" si="10"/>
        <v>2013.1651066069701</v>
      </c>
      <c r="D50" s="10">
        <f t="shared" si="6"/>
        <v>7013.1651066069699</v>
      </c>
      <c r="E50" s="11">
        <f t="shared" si="11"/>
        <v>2438.5611882507401</v>
      </c>
      <c r="F50" s="10">
        <f t="shared" si="7"/>
        <v>243856.11882507399</v>
      </c>
      <c r="G50" s="10">
        <f t="shared" si="8"/>
        <v>2072.7770100131293</v>
      </c>
    </row>
    <row r="51" spans="1:7" x14ac:dyDescent="0.3">
      <c r="A51" s="12">
        <v>40</v>
      </c>
      <c r="B51" s="13">
        <f t="shared" si="9"/>
        <v>5000</v>
      </c>
      <c r="C51" s="13">
        <f t="shared" si="10"/>
        <v>2072.7770100131293</v>
      </c>
      <c r="D51" s="13">
        <f t="shared" si="6"/>
        <v>7072.7770100131293</v>
      </c>
      <c r="E51" s="14">
        <f t="shared" si="11"/>
        <v>2509.2889583508713</v>
      </c>
      <c r="F51" s="13">
        <f t="shared" si="7"/>
        <v>250928.89583508714</v>
      </c>
      <c r="G51" s="13">
        <f t="shared" si="8"/>
        <v>2132.8956145982406</v>
      </c>
    </row>
    <row r="52" spans="1:7" x14ac:dyDescent="0.3">
      <c r="A52" s="9">
        <v>41</v>
      </c>
      <c r="B52" s="10">
        <f t="shared" si="9"/>
        <v>5000</v>
      </c>
      <c r="C52" s="10">
        <f t="shared" si="10"/>
        <v>2132.8956145982406</v>
      </c>
      <c r="D52" s="10">
        <f t="shared" si="6"/>
        <v>7132.8956145982411</v>
      </c>
      <c r="E52" s="11">
        <f t="shared" si="11"/>
        <v>2580.6179144968537</v>
      </c>
      <c r="F52" s="10">
        <f t="shared" si="7"/>
        <v>258061.79144968538</v>
      </c>
      <c r="G52" s="10">
        <f t="shared" si="8"/>
        <v>2193.5252273223259</v>
      </c>
    </row>
    <row r="53" spans="1:7" x14ac:dyDescent="0.3">
      <c r="A53" s="12">
        <v>42</v>
      </c>
      <c r="B53" s="13">
        <f t="shared" si="9"/>
        <v>5000</v>
      </c>
      <c r="C53" s="13">
        <f t="shared" si="10"/>
        <v>2193.5252273223259</v>
      </c>
      <c r="D53" s="13">
        <f t="shared" si="6"/>
        <v>7193.5252273223259</v>
      </c>
      <c r="E53" s="14">
        <f t="shared" si="11"/>
        <v>2652.553166770077</v>
      </c>
      <c r="F53" s="13">
        <f t="shared" si="7"/>
        <v>265255.31667700771</v>
      </c>
      <c r="G53" s="13">
        <f t="shared" si="8"/>
        <v>2254.6701917545656</v>
      </c>
    </row>
    <row r="54" spans="1:7" x14ac:dyDescent="0.3">
      <c r="A54" s="9">
        <v>43</v>
      </c>
      <c r="B54" s="10">
        <f t="shared" si="9"/>
        <v>5000</v>
      </c>
      <c r="C54" s="10">
        <f t="shared" si="10"/>
        <v>2254.6701917545656</v>
      </c>
      <c r="D54" s="10">
        <f t="shared" si="6"/>
        <v>7254.6701917545652</v>
      </c>
      <c r="E54" s="11">
        <f t="shared" si="11"/>
        <v>2725.0998686876228</v>
      </c>
      <c r="F54" s="10">
        <f t="shared" si="7"/>
        <v>272509.98686876229</v>
      </c>
      <c r="G54" s="10">
        <f t="shared" si="8"/>
        <v>2316.3348883844797</v>
      </c>
    </row>
    <row r="55" spans="1:7" x14ac:dyDescent="0.3">
      <c r="A55" s="12">
        <v>44</v>
      </c>
      <c r="B55" s="13">
        <f t="shared" si="9"/>
        <v>5000</v>
      </c>
      <c r="C55" s="13">
        <f t="shared" si="10"/>
        <v>2316.3348883844797</v>
      </c>
      <c r="D55" s="13">
        <f t="shared" si="6"/>
        <v>7316.3348883844792</v>
      </c>
      <c r="E55" s="14">
        <f t="shared" si="11"/>
        <v>2798.2632175714675</v>
      </c>
      <c r="F55" s="13">
        <f t="shared" si="7"/>
        <v>279826.32175714674</v>
      </c>
      <c r="G55" s="13">
        <f t="shared" si="8"/>
        <v>2378.5237349357476</v>
      </c>
    </row>
    <row r="56" spans="1:7" x14ac:dyDescent="0.3">
      <c r="A56" s="9">
        <v>45</v>
      </c>
      <c r="B56" s="10">
        <f t="shared" si="9"/>
        <v>5000</v>
      </c>
      <c r="C56" s="10">
        <f t="shared" si="10"/>
        <v>2378.5237349357476</v>
      </c>
      <c r="D56" s="10">
        <f t="shared" si="6"/>
        <v>7378.5237349357476</v>
      </c>
      <c r="E56" s="11">
        <f t="shared" si="11"/>
        <v>2872.048454920825</v>
      </c>
      <c r="F56" s="10">
        <f t="shared" si="7"/>
        <v>287204.84549208247</v>
      </c>
      <c r="G56" s="10">
        <f t="shared" si="8"/>
        <v>2441.241186682701</v>
      </c>
    </row>
    <row r="57" spans="1:7" x14ac:dyDescent="0.3">
      <c r="A57" s="12">
        <v>46</v>
      </c>
      <c r="B57" s="13">
        <f t="shared" si="9"/>
        <v>5000</v>
      </c>
      <c r="C57" s="13">
        <f t="shared" si="10"/>
        <v>2441.241186682701</v>
      </c>
      <c r="D57" s="13">
        <f t="shared" si="6"/>
        <v>7441.2411866827006</v>
      </c>
      <c r="E57" s="14">
        <f t="shared" si="11"/>
        <v>2946.4608667876519</v>
      </c>
      <c r="F57" s="13">
        <f t="shared" si="7"/>
        <v>294646.08667876519</v>
      </c>
      <c r="G57" s="13">
        <f t="shared" si="8"/>
        <v>2504.4917367695043</v>
      </c>
    </row>
    <row r="58" spans="1:7" x14ac:dyDescent="0.3">
      <c r="A58" s="9">
        <v>47</v>
      </c>
      <c r="B58" s="10">
        <f t="shared" si="9"/>
        <v>5000</v>
      </c>
      <c r="C58" s="10">
        <f t="shared" si="10"/>
        <v>2504.4917367695043</v>
      </c>
      <c r="D58" s="10">
        <f t="shared" si="6"/>
        <v>7504.4917367695043</v>
      </c>
      <c r="E58" s="11">
        <f t="shared" si="11"/>
        <v>3021.5057841553471</v>
      </c>
      <c r="F58" s="10">
        <f t="shared" si="7"/>
        <v>302150.57841553469</v>
      </c>
      <c r="G58" s="10">
        <f t="shared" si="8"/>
        <v>2568.2799165320453</v>
      </c>
    </row>
    <row r="59" spans="1:7" x14ac:dyDescent="0.3">
      <c r="A59" s="12">
        <v>48</v>
      </c>
      <c r="B59" s="13">
        <f t="shared" si="9"/>
        <v>5000</v>
      </c>
      <c r="C59" s="13">
        <f t="shared" si="10"/>
        <v>2568.2799165320453</v>
      </c>
      <c r="D59" s="13">
        <f t="shared" si="6"/>
        <v>7568.2799165320448</v>
      </c>
      <c r="E59" s="14">
        <f t="shared" si="11"/>
        <v>3097.1885833206675</v>
      </c>
      <c r="F59" s="13">
        <f t="shared" si="7"/>
        <v>309718.85833206674</v>
      </c>
      <c r="G59" s="13">
        <f t="shared" si="8"/>
        <v>2632.6102958225674</v>
      </c>
    </row>
    <row r="60" spans="1:7" x14ac:dyDescent="0.3">
      <c r="A60" s="9">
        <v>49</v>
      </c>
      <c r="B60" s="10">
        <f t="shared" si="9"/>
        <v>5000</v>
      </c>
      <c r="C60" s="10">
        <f t="shared" si="10"/>
        <v>2632.6102958225674</v>
      </c>
      <c r="D60" s="10">
        <f t="shared" si="6"/>
        <v>7632.6102958225674</v>
      </c>
      <c r="E60" s="11">
        <f t="shared" si="11"/>
        <v>3173.5146862788934</v>
      </c>
      <c r="F60" s="10">
        <f t="shared" si="7"/>
        <v>317351.46862788935</v>
      </c>
      <c r="G60" s="10">
        <f t="shared" si="8"/>
        <v>2697.4874833370595</v>
      </c>
    </row>
    <row r="61" spans="1:7" x14ac:dyDescent="0.3">
      <c r="A61" s="12">
        <v>50</v>
      </c>
      <c r="B61" s="13">
        <f t="shared" si="9"/>
        <v>5000</v>
      </c>
      <c r="C61" s="13">
        <f t="shared" si="10"/>
        <v>2697.4874833370595</v>
      </c>
      <c r="D61" s="13">
        <f t="shared" si="6"/>
        <v>7697.4874833370595</v>
      </c>
      <c r="E61" s="14">
        <f t="shared" si="11"/>
        <v>3250.4895611122638</v>
      </c>
      <c r="F61" s="13">
        <f t="shared" si="7"/>
        <v>325048.95611122641</v>
      </c>
      <c r="G61" s="13">
        <f t="shared" si="8"/>
        <v>2762.9161269454248</v>
      </c>
    </row>
    <row r="62" spans="1:7" x14ac:dyDescent="0.3">
      <c r="A62" s="9">
        <v>51</v>
      </c>
      <c r="B62" s="10">
        <f t="shared" si="9"/>
        <v>5000</v>
      </c>
      <c r="C62" s="10">
        <f t="shared" si="10"/>
        <v>2762.9161269454248</v>
      </c>
      <c r="D62" s="10">
        <f t="shared" si="6"/>
        <v>7762.9161269454253</v>
      </c>
      <c r="E62" s="11">
        <f t="shared" si="11"/>
        <v>3328.1187223817183</v>
      </c>
      <c r="F62" s="10">
        <f t="shared" si="7"/>
        <v>332811.87223817181</v>
      </c>
      <c r="G62" s="10">
        <f t="shared" si="8"/>
        <v>2828.9009140244607</v>
      </c>
    </row>
    <row r="63" spans="1:7" x14ac:dyDescent="0.3">
      <c r="A63" s="12">
        <v>52</v>
      </c>
      <c r="B63" s="13">
        <f t="shared" si="9"/>
        <v>5000</v>
      </c>
      <c r="C63" s="13">
        <f t="shared" si="10"/>
        <v>2828.9009140244607</v>
      </c>
      <c r="D63" s="13">
        <f t="shared" si="6"/>
        <v>7828.9009140244607</v>
      </c>
      <c r="E63" s="14">
        <f t="shared" si="11"/>
        <v>3406.4077315219629</v>
      </c>
      <c r="F63" s="13">
        <f t="shared" si="7"/>
        <v>340640.77315219631</v>
      </c>
      <c r="G63" s="13">
        <f t="shared" si="8"/>
        <v>2895.4465717936687</v>
      </c>
    </row>
    <row r="64" spans="1:7" x14ac:dyDescent="0.3">
      <c r="A64" s="9">
        <v>53</v>
      </c>
      <c r="B64" s="10">
        <f t="shared" si="9"/>
        <v>5000</v>
      </c>
      <c r="C64" s="10">
        <f t="shared" si="10"/>
        <v>2895.4465717936687</v>
      </c>
      <c r="D64" s="10">
        <f t="shared" si="6"/>
        <v>7895.4465717936691</v>
      </c>
      <c r="E64" s="11">
        <f t="shared" si="11"/>
        <v>3485.3621972398996</v>
      </c>
      <c r="F64" s="10">
        <f t="shared" si="7"/>
        <v>348536.21972398995</v>
      </c>
      <c r="G64" s="10">
        <f t="shared" si="8"/>
        <v>2962.5578676539149</v>
      </c>
    </row>
    <row r="65" spans="1:7" x14ac:dyDescent="0.3">
      <c r="A65" s="12">
        <v>54</v>
      </c>
      <c r="B65" s="13">
        <f t="shared" si="9"/>
        <v>5000</v>
      </c>
      <c r="C65" s="13">
        <f t="shared" si="10"/>
        <v>2962.5578676539149</v>
      </c>
      <c r="D65" s="13">
        <f t="shared" si="6"/>
        <v>7962.5578676539153</v>
      </c>
      <c r="E65" s="14">
        <f t="shared" si="11"/>
        <v>3564.9877759164387</v>
      </c>
      <c r="F65" s="13">
        <f t="shared" si="7"/>
        <v>356498.77759164385</v>
      </c>
      <c r="G65" s="13">
        <f t="shared" si="8"/>
        <v>3030.2396095289728</v>
      </c>
    </row>
    <row r="66" spans="1:7" x14ac:dyDescent="0.3">
      <c r="A66" s="9">
        <v>55</v>
      </c>
      <c r="B66" s="10">
        <f t="shared" si="9"/>
        <v>5000</v>
      </c>
      <c r="C66" s="10">
        <f t="shared" si="10"/>
        <v>3030.2396095289728</v>
      </c>
      <c r="D66" s="10">
        <f t="shared" si="6"/>
        <v>8030.2396095289732</v>
      </c>
      <c r="E66" s="11">
        <f t="shared" si="11"/>
        <v>3645.2901720117284</v>
      </c>
      <c r="F66" s="10">
        <f t="shared" si="7"/>
        <v>364529.01720117283</v>
      </c>
      <c r="G66" s="10">
        <f t="shared" si="8"/>
        <v>3098.4966462099692</v>
      </c>
    </row>
    <row r="67" spans="1:7" x14ac:dyDescent="0.3">
      <c r="A67" s="12">
        <v>56</v>
      </c>
      <c r="B67" s="13">
        <f t="shared" si="9"/>
        <v>5000</v>
      </c>
      <c r="C67" s="13">
        <f t="shared" si="10"/>
        <v>3098.4966462099692</v>
      </c>
      <c r="D67" s="13">
        <f t="shared" si="6"/>
        <v>8098.4966462099692</v>
      </c>
      <c r="E67" s="14">
        <f t="shared" si="11"/>
        <v>3726.2751384738281</v>
      </c>
      <c r="F67" s="13">
        <f t="shared" si="7"/>
        <v>372627.5138473828</v>
      </c>
      <c r="G67" s="13">
        <f t="shared" si="8"/>
        <v>3167.3338677027541</v>
      </c>
    </row>
    <row r="68" spans="1:7" x14ac:dyDescent="0.3">
      <c r="A68" s="9">
        <v>57</v>
      </c>
      <c r="B68" s="10">
        <f t="shared" si="9"/>
        <v>5000</v>
      </c>
      <c r="C68" s="10">
        <f t="shared" si="10"/>
        <v>3167.3338677027541</v>
      </c>
      <c r="D68" s="10">
        <f t="shared" si="6"/>
        <v>8167.3338677027541</v>
      </c>
      <c r="E68" s="11">
        <f t="shared" si="11"/>
        <v>3807.9484771508555</v>
      </c>
      <c r="F68" s="10">
        <f t="shared" si="7"/>
        <v>380794.84771508555</v>
      </c>
      <c r="G68" s="10">
        <f t="shared" si="8"/>
        <v>3236.7562055782273</v>
      </c>
    </row>
    <row r="69" spans="1:7" x14ac:dyDescent="0.3">
      <c r="A69" s="12">
        <v>58</v>
      </c>
      <c r="B69" s="13">
        <f t="shared" si="9"/>
        <v>5000</v>
      </c>
      <c r="C69" s="13">
        <f t="shared" si="10"/>
        <v>3236.7562055782273</v>
      </c>
      <c r="D69" s="13">
        <f t="shared" si="6"/>
        <v>8236.7562055782273</v>
      </c>
      <c r="E69" s="14">
        <f t="shared" si="11"/>
        <v>3890.3160392066379</v>
      </c>
      <c r="F69" s="13">
        <f t="shared" si="7"/>
        <v>389031.60392066377</v>
      </c>
      <c r="G69" s="13">
        <f t="shared" si="8"/>
        <v>3306.7686333256424</v>
      </c>
    </row>
    <row r="70" spans="1:7" x14ac:dyDescent="0.3">
      <c r="A70" s="9">
        <v>59</v>
      </c>
      <c r="B70" s="10">
        <f t="shared" si="9"/>
        <v>5000</v>
      </c>
      <c r="C70" s="10">
        <f t="shared" si="10"/>
        <v>3306.7686333256424</v>
      </c>
      <c r="D70" s="10">
        <f t="shared" si="6"/>
        <v>8306.7686333256424</v>
      </c>
      <c r="E70" s="11">
        <f t="shared" si="11"/>
        <v>3973.3837255398944</v>
      </c>
      <c r="F70" s="10">
        <f t="shared" si="7"/>
        <v>397338.37255398947</v>
      </c>
      <c r="G70" s="10">
        <f t="shared" si="8"/>
        <v>3377.3761667089107</v>
      </c>
    </row>
    <row r="71" spans="1:7" x14ac:dyDescent="0.3">
      <c r="A71" s="12">
        <v>60</v>
      </c>
      <c r="B71" s="13">
        <f t="shared" si="9"/>
        <v>5000</v>
      </c>
      <c r="C71" s="13">
        <f t="shared" si="10"/>
        <v>3377.3761667089107</v>
      </c>
      <c r="D71" s="13">
        <f t="shared" si="6"/>
        <v>8377.3761667089111</v>
      </c>
      <c r="E71" s="14">
        <f t="shared" si="11"/>
        <v>4057.1574872069837</v>
      </c>
      <c r="F71" s="13">
        <f t="shared" si="7"/>
        <v>405715.74872069835</v>
      </c>
      <c r="G71" s="13">
        <f t="shared" si="8"/>
        <v>3448.5838641259361</v>
      </c>
    </row>
    <row r="72" spans="1:7" x14ac:dyDescent="0.3">
      <c r="A72" s="9">
        <v>61</v>
      </c>
      <c r="B72" s="10">
        <f t="shared" si="9"/>
        <v>5000</v>
      </c>
      <c r="C72" s="10">
        <f t="shared" si="10"/>
        <v>3448.5838641259361</v>
      </c>
      <c r="D72" s="10">
        <f t="shared" si="6"/>
        <v>8448.5838641259361</v>
      </c>
      <c r="E72" s="11">
        <f t="shared" si="11"/>
        <v>4141.643325848243</v>
      </c>
      <c r="F72" s="10">
        <f t="shared" si="7"/>
        <v>414164.3325848243</v>
      </c>
      <c r="G72" s="10">
        <f t="shared" si="8"/>
        <v>3520.3968269710067</v>
      </c>
    </row>
    <row r="73" spans="1:7" x14ac:dyDescent="0.3">
      <c r="A73" s="12">
        <v>62</v>
      </c>
      <c r="B73" s="13">
        <f t="shared" si="9"/>
        <v>5000</v>
      </c>
      <c r="C73" s="13">
        <f t="shared" si="10"/>
        <v>3520.3968269710067</v>
      </c>
      <c r="D73" s="13">
        <f t="shared" si="6"/>
        <v>8520.3968269710058</v>
      </c>
      <c r="E73" s="14">
        <f t="shared" si="11"/>
        <v>4226.8472941179534</v>
      </c>
      <c r="F73" s="13">
        <f t="shared" si="7"/>
        <v>422684.72941179533</v>
      </c>
      <c r="G73" s="13">
        <f t="shared" si="8"/>
        <v>3592.8202000002607</v>
      </c>
    </row>
    <row r="74" spans="1:7" x14ac:dyDescent="0.3">
      <c r="A74" s="9">
        <v>63</v>
      </c>
      <c r="B74" s="10">
        <f t="shared" si="9"/>
        <v>5000</v>
      </c>
      <c r="C74" s="10">
        <f t="shared" si="10"/>
        <v>3592.8202000002607</v>
      </c>
      <c r="D74" s="10">
        <f t="shared" si="6"/>
        <v>8592.8202000002602</v>
      </c>
      <c r="E74" s="11">
        <f t="shared" si="11"/>
        <v>4312.7754961179562</v>
      </c>
      <c r="F74" s="10">
        <f t="shared" si="7"/>
        <v>431277.54961179564</v>
      </c>
      <c r="G74" s="10">
        <f t="shared" si="8"/>
        <v>3665.8591717002632</v>
      </c>
    </row>
    <row r="75" spans="1:7" x14ac:dyDescent="0.3">
      <c r="A75" s="12">
        <v>64</v>
      </c>
      <c r="B75" s="13">
        <f t="shared" si="9"/>
        <v>5000</v>
      </c>
      <c r="C75" s="13">
        <f t="shared" si="10"/>
        <v>3665.8591717002632</v>
      </c>
      <c r="D75" s="13">
        <f t="shared" si="6"/>
        <v>8665.8591717002637</v>
      </c>
      <c r="E75" s="14">
        <f t="shared" si="11"/>
        <v>4399.4340878349585</v>
      </c>
      <c r="F75" s="13">
        <f t="shared" si="7"/>
        <v>439943.40878349583</v>
      </c>
      <c r="G75" s="13">
        <f t="shared" si="8"/>
        <v>3739.5189746597148</v>
      </c>
    </row>
    <row r="76" spans="1:7" x14ac:dyDescent="0.3">
      <c r="A76" s="9">
        <v>65</v>
      </c>
      <c r="B76" s="10">
        <f t="shared" si="9"/>
        <v>5000</v>
      </c>
      <c r="C76" s="10">
        <f t="shared" si="10"/>
        <v>3739.5189746597148</v>
      </c>
      <c r="D76" s="10">
        <f t="shared" ref="D76:D107" si="12">B76+C76</f>
        <v>8739.5189746597152</v>
      </c>
      <c r="E76" s="11">
        <f t="shared" si="11"/>
        <v>4486.8292775815553</v>
      </c>
      <c r="F76" s="10">
        <f t="shared" ref="F76:F107" si="13">E76*$B$6</f>
        <v>448682.92775815551</v>
      </c>
      <c r="G76" s="10">
        <f t="shared" ref="G76:G107" si="14">F76*$B$7</f>
        <v>3813.804885944322</v>
      </c>
    </row>
    <row r="77" spans="1:7" x14ac:dyDescent="0.3">
      <c r="A77" s="12">
        <v>66</v>
      </c>
      <c r="B77" s="13">
        <f t="shared" ref="B77:B108" si="15">$B$5</f>
        <v>5000</v>
      </c>
      <c r="C77" s="13">
        <f t="shared" ref="C77:C108" si="16">G76</f>
        <v>3813.804885944322</v>
      </c>
      <c r="D77" s="13">
        <f t="shared" si="12"/>
        <v>8813.8048859443225</v>
      </c>
      <c r="E77" s="14">
        <f t="shared" ref="E77:E108" si="17">E76+(D77/$B$6)</f>
        <v>4574.9673264409985</v>
      </c>
      <c r="F77" s="13">
        <f t="shared" si="13"/>
        <v>457496.73264409986</v>
      </c>
      <c r="G77" s="13">
        <f t="shared" si="14"/>
        <v>3888.7222274748492</v>
      </c>
    </row>
    <row r="78" spans="1:7" x14ac:dyDescent="0.3">
      <c r="A78" s="9">
        <v>67</v>
      </c>
      <c r="B78" s="10">
        <f t="shared" si="15"/>
        <v>5000</v>
      </c>
      <c r="C78" s="10">
        <f t="shared" si="16"/>
        <v>3888.7222274748492</v>
      </c>
      <c r="D78" s="10">
        <f t="shared" si="12"/>
        <v>8888.7222274748492</v>
      </c>
      <c r="E78" s="11">
        <f t="shared" si="17"/>
        <v>4663.8545487157471</v>
      </c>
      <c r="F78" s="10">
        <f t="shared" si="13"/>
        <v>466385.45487157471</v>
      </c>
      <c r="G78" s="10">
        <f t="shared" si="14"/>
        <v>3964.2763664083855</v>
      </c>
    </row>
    <row r="79" spans="1:7" x14ac:dyDescent="0.3">
      <c r="A79" s="12">
        <v>68</v>
      </c>
      <c r="B79" s="13">
        <f t="shared" si="15"/>
        <v>5000</v>
      </c>
      <c r="C79" s="13">
        <f t="shared" si="16"/>
        <v>3964.2763664083855</v>
      </c>
      <c r="D79" s="13">
        <f t="shared" si="12"/>
        <v>8964.276366408385</v>
      </c>
      <c r="E79" s="14">
        <f t="shared" si="17"/>
        <v>4753.4973123798309</v>
      </c>
      <c r="F79" s="13">
        <f t="shared" si="13"/>
        <v>475349.7312379831</v>
      </c>
      <c r="G79" s="13">
        <f t="shared" si="14"/>
        <v>4040.4727155228566</v>
      </c>
    </row>
    <row r="80" spans="1:7" x14ac:dyDescent="0.3">
      <c r="A80" s="9">
        <v>69</v>
      </c>
      <c r="B80" s="10">
        <f t="shared" si="15"/>
        <v>5000</v>
      </c>
      <c r="C80" s="10">
        <f t="shared" si="16"/>
        <v>4040.4727155228566</v>
      </c>
      <c r="D80" s="10">
        <f t="shared" si="12"/>
        <v>9040.4727155228575</v>
      </c>
      <c r="E80" s="11">
        <f t="shared" si="17"/>
        <v>4843.9020395350599</v>
      </c>
      <c r="F80" s="10">
        <f t="shared" si="13"/>
        <v>484390.20395350596</v>
      </c>
      <c r="G80" s="10">
        <f t="shared" si="14"/>
        <v>4117.3167336048009</v>
      </c>
    </row>
    <row r="81" spans="1:7" x14ac:dyDescent="0.3">
      <c r="A81" s="12">
        <v>70</v>
      </c>
      <c r="B81" s="13">
        <f t="shared" si="15"/>
        <v>5000</v>
      </c>
      <c r="C81" s="13">
        <f t="shared" si="16"/>
        <v>4117.3167336048009</v>
      </c>
      <c r="D81" s="13">
        <f t="shared" si="12"/>
        <v>9117.3167336048009</v>
      </c>
      <c r="E81" s="14">
        <f t="shared" si="17"/>
        <v>4935.0752068711081</v>
      </c>
      <c r="F81" s="13">
        <f t="shared" si="13"/>
        <v>493507.52068711084</v>
      </c>
      <c r="G81" s="13">
        <f t="shared" si="14"/>
        <v>4194.8139258404426</v>
      </c>
    </row>
    <row r="82" spans="1:7" x14ac:dyDescent="0.3">
      <c r="A82" s="9">
        <v>71</v>
      </c>
      <c r="B82" s="10">
        <f t="shared" si="15"/>
        <v>5000</v>
      </c>
      <c r="C82" s="10">
        <f t="shared" si="16"/>
        <v>4194.8139258404426</v>
      </c>
      <c r="D82" s="10">
        <f t="shared" si="12"/>
        <v>9194.8139258404426</v>
      </c>
      <c r="E82" s="11">
        <f t="shared" si="17"/>
        <v>5027.0233461295129</v>
      </c>
      <c r="F82" s="10">
        <f t="shared" si="13"/>
        <v>502702.33461295126</v>
      </c>
      <c r="G82" s="10">
        <f t="shared" si="14"/>
        <v>4272.9698442100862</v>
      </c>
    </row>
    <row r="83" spans="1:7" x14ac:dyDescent="0.3">
      <c r="A83" s="12">
        <v>72</v>
      </c>
      <c r="B83" s="13">
        <f t="shared" si="15"/>
        <v>5000</v>
      </c>
      <c r="C83" s="13">
        <f t="shared" si="16"/>
        <v>4272.9698442100862</v>
      </c>
      <c r="D83" s="13">
        <f t="shared" si="12"/>
        <v>9272.9698442100853</v>
      </c>
      <c r="E83" s="14">
        <f t="shared" si="17"/>
        <v>5119.7530445716138</v>
      </c>
      <c r="F83" s="13">
        <f t="shared" si="13"/>
        <v>511975.3044571614</v>
      </c>
      <c r="G83" s="13">
        <f t="shared" si="14"/>
        <v>4351.7900878858718</v>
      </c>
    </row>
    <row r="84" spans="1:7" x14ac:dyDescent="0.3">
      <c r="A84" s="9">
        <v>73</v>
      </c>
      <c r="B84" s="10">
        <f t="shared" si="15"/>
        <v>5000</v>
      </c>
      <c r="C84" s="10">
        <f t="shared" si="16"/>
        <v>4351.7900878858718</v>
      </c>
      <c r="D84" s="10">
        <f t="shared" si="12"/>
        <v>9351.7900878858709</v>
      </c>
      <c r="E84" s="11">
        <f t="shared" si="17"/>
        <v>5213.2709454504729</v>
      </c>
      <c r="F84" s="10">
        <f t="shared" si="13"/>
        <v>521327.09454504726</v>
      </c>
      <c r="G84" s="10">
        <f t="shared" si="14"/>
        <v>4431.2803036329024</v>
      </c>
    </row>
    <row r="85" spans="1:7" x14ac:dyDescent="0.3">
      <c r="A85" s="12">
        <v>74</v>
      </c>
      <c r="B85" s="13">
        <f t="shared" si="15"/>
        <v>5000</v>
      </c>
      <c r="C85" s="13">
        <f t="shared" si="16"/>
        <v>4431.2803036329024</v>
      </c>
      <c r="D85" s="13">
        <f t="shared" si="12"/>
        <v>9431.2803036329024</v>
      </c>
      <c r="E85" s="14">
        <f t="shared" si="17"/>
        <v>5307.5837484868016</v>
      </c>
      <c r="F85" s="13">
        <f t="shared" si="13"/>
        <v>530758.37484868011</v>
      </c>
      <c r="G85" s="13">
        <f t="shared" si="14"/>
        <v>4511.4461862137814</v>
      </c>
    </row>
    <row r="86" spans="1:7" x14ac:dyDescent="0.3">
      <c r="A86" s="9">
        <v>75</v>
      </c>
      <c r="B86" s="10">
        <f t="shared" si="15"/>
        <v>5000</v>
      </c>
      <c r="C86" s="10">
        <f t="shared" si="16"/>
        <v>4511.4461862137814</v>
      </c>
      <c r="D86" s="10">
        <f t="shared" si="12"/>
        <v>9511.4461862137814</v>
      </c>
      <c r="E86" s="11">
        <f t="shared" si="17"/>
        <v>5402.698210348939</v>
      </c>
      <c r="F86" s="10">
        <f t="shared" si="13"/>
        <v>540269.82103489386</v>
      </c>
      <c r="G86" s="10">
        <f t="shared" si="14"/>
        <v>4592.2934787965978</v>
      </c>
    </row>
    <row r="87" spans="1:7" x14ac:dyDescent="0.3">
      <c r="A87" s="12">
        <v>76</v>
      </c>
      <c r="B87" s="13">
        <f t="shared" si="15"/>
        <v>5000</v>
      </c>
      <c r="C87" s="13">
        <f t="shared" si="16"/>
        <v>4592.2934787965978</v>
      </c>
      <c r="D87" s="13">
        <f t="shared" si="12"/>
        <v>9592.2934787965969</v>
      </c>
      <c r="E87" s="14">
        <f t="shared" si="17"/>
        <v>5498.6211451369054</v>
      </c>
      <c r="F87" s="13">
        <f t="shared" si="13"/>
        <v>549862.11451369058</v>
      </c>
      <c r="G87" s="13">
        <f t="shared" si="14"/>
        <v>4673.8279733663703</v>
      </c>
    </row>
    <row r="88" spans="1:7" x14ac:dyDescent="0.3">
      <c r="A88" s="9">
        <v>77</v>
      </c>
      <c r="B88" s="10">
        <f t="shared" si="15"/>
        <v>5000</v>
      </c>
      <c r="C88" s="10">
        <f t="shared" si="16"/>
        <v>4673.8279733663703</v>
      </c>
      <c r="D88" s="10">
        <f t="shared" si="12"/>
        <v>9673.8279733663694</v>
      </c>
      <c r="E88" s="11">
        <f t="shared" si="17"/>
        <v>5595.3594248705695</v>
      </c>
      <c r="F88" s="10">
        <f t="shared" si="13"/>
        <v>559535.94248705695</v>
      </c>
      <c r="G88" s="10">
        <f t="shared" si="14"/>
        <v>4756.0555111399844</v>
      </c>
    </row>
    <row r="89" spans="1:7" x14ac:dyDescent="0.3">
      <c r="A89" s="12">
        <v>78</v>
      </c>
      <c r="B89" s="13">
        <f t="shared" si="15"/>
        <v>5000</v>
      </c>
      <c r="C89" s="13">
        <f t="shared" si="16"/>
        <v>4756.0555111399844</v>
      </c>
      <c r="D89" s="13">
        <f t="shared" si="12"/>
        <v>9756.0555111399844</v>
      </c>
      <c r="E89" s="14">
        <f t="shared" si="17"/>
        <v>5692.9199799819689</v>
      </c>
      <c r="F89" s="13">
        <f t="shared" si="13"/>
        <v>569291.99799819686</v>
      </c>
      <c r="G89" s="13">
        <f t="shared" si="14"/>
        <v>4838.9819829846738</v>
      </c>
    </row>
    <row r="90" spans="1:7" x14ac:dyDescent="0.3">
      <c r="A90" s="9">
        <v>79</v>
      </c>
      <c r="B90" s="10">
        <f t="shared" si="15"/>
        <v>5000</v>
      </c>
      <c r="C90" s="10">
        <f t="shared" si="16"/>
        <v>4838.9819829846738</v>
      </c>
      <c r="D90" s="10">
        <f t="shared" si="12"/>
        <v>9838.9819829846747</v>
      </c>
      <c r="E90" s="11">
        <f t="shared" si="17"/>
        <v>5791.3097998118155</v>
      </c>
      <c r="F90" s="10">
        <f t="shared" si="13"/>
        <v>579130.97998118156</v>
      </c>
      <c r="G90" s="10">
        <f t="shared" si="14"/>
        <v>4922.6133298400437</v>
      </c>
    </row>
    <row r="91" spans="1:7" x14ac:dyDescent="0.3">
      <c r="A91" s="12">
        <v>80</v>
      </c>
      <c r="B91" s="13">
        <f t="shared" si="15"/>
        <v>5000</v>
      </c>
      <c r="C91" s="13">
        <f t="shared" si="16"/>
        <v>4922.6133298400437</v>
      </c>
      <c r="D91" s="13">
        <f t="shared" si="12"/>
        <v>9922.6133298400437</v>
      </c>
      <c r="E91" s="14">
        <f t="shared" si="17"/>
        <v>5890.5359331102163</v>
      </c>
      <c r="F91" s="13">
        <f t="shared" si="13"/>
        <v>589053.59331102169</v>
      </c>
      <c r="G91" s="13">
        <f t="shared" si="14"/>
        <v>5006.9555431436847</v>
      </c>
    </row>
    <row r="92" spans="1:7" x14ac:dyDescent="0.3">
      <c r="A92" s="9">
        <v>81</v>
      </c>
      <c r="B92" s="10">
        <f t="shared" si="15"/>
        <v>5000</v>
      </c>
      <c r="C92" s="10">
        <f t="shared" si="16"/>
        <v>5006.9555431436847</v>
      </c>
      <c r="D92" s="10">
        <f t="shared" si="12"/>
        <v>10006.955543143686</v>
      </c>
      <c r="E92" s="11">
        <f t="shared" si="17"/>
        <v>5990.6054885416534</v>
      </c>
      <c r="F92" s="10">
        <f t="shared" si="13"/>
        <v>599060.54885416536</v>
      </c>
      <c r="G92" s="10">
        <f t="shared" si="14"/>
        <v>5092.0146652604062</v>
      </c>
    </row>
    <row r="93" spans="1:7" x14ac:dyDescent="0.3">
      <c r="A93" s="12">
        <v>82</v>
      </c>
      <c r="B93" s="13">
        <f t="shared" si="15"/>
        <v>5000</v>
      </c>
      <c r="C93" s="13">
        <f t="shared" si="16"/>
        <v>5092.0146652604062</v>
      </c>
      <c r="D93" s="13">
        <f t="shared" si="12"/>
        <v>10092.014665260405</v>
      </c>
      <c r="E93" s="14">
        <f t="shared" si="17"/>
        <v>6091.5256351942571</v>
      </c>
      <c r="F93" s="13">
        <f t="shared" si="13"/>
        <v>609152.56351942569</v>
      </c>
      <c r="G93" s="13">
        <f t="shared" si="14"/>
        <v>5177.796789915119</v>
      </c>
    </row>
    <row r="94" spans="1:7" x14ac:dyDescent="0.3">
      <c r="A94" s="9">
        <v>83</v>
      </c>
      <c r="B94" s="10">
        <f t="shared" si="15"/>
        <v>5000</v>
      </c>
      <c r="C94" s="10">
        <f t="shared" si="16"/>
        <v>5177.796789915119</v>
      </c>
      <c r="D94" s="10">
        <f t="shared" si="12"/>
        <v>10177.796789915119</v>
      </c>
      <c r="E94" s="11">
        <f t="shared" si="17"/>
        <v>6193.3036030934081</v>
      </c>
      <c r="F94" s="10">
        <f t="shared" si="13"/>
        <v>619330.36030934076</v>
      </c>
      <c r="G94" s="10">
        <f t="shared" si="14"/>
        <v>5264.3080626293968</v>
      </c>
    </row>
    <row r="95" spans="1:7" x14ac:dyDescent="0.3">
      <c r="A95" s="12">
        <v>84</v>
      </c>
      <c r="B95" s="13">
        <f t="shared" si="15"/>
        <v>5000</v>
      </c>
      <c r="C95" s="13">
        <f t="shared" si="16"/>
        <v>5264.3080626293968</v>
      </c>
      <c r="D95" s="13">
        <f t="shared" si="12"/>
        <v>10264.308062629396</v>
      </c>
      <c r="E95" s="14">
        <f t="shared" si="17"/>
        <v>6295.9466837197024</v>
      </c>
      <c r="F95" s="13">
        <f t="shared" si="13"/>
        <v>629594.66837197018</v>
      </c>
      <c r="G95" s="13">
        <f t="shared" si="14"/>
        <v>5351.5546811617469</v>
      </c>
    </row>
    <row r="96" spans="1:7" x14ac:dyDescent="0.3">
      <c r="A96" s="9">
        <v>85</v>
      </c>
      <c r="B96" s="10">
        <f t="shared" si="15"/>
        <v>5000</v>
      </c>
      <c r="C96" s="10">
        <f t="shared" si="16"/>
        <v>5351.5546811617469</v>
      </c>
      <c r="D96" s="10">
        <f t="shared" si="12"/>
        <v>10351.554681161746</v>
      </c>
      <c r="E96" s="11">
        <f t="shared" si="17"/>
        <v>6399.4622305313196</v>
      </c>
      <c r="F96" s="10">
        <f t="shared" si="13"/>
        <v>639946.22305313195</v>
      </c>
      <c r="G96" s="10">
        <f t="shared" si="14"/>
        <v>5439.5428959516221</v>
      </c>
    </row>
    <row r="97" spans="1:7" x14ac:dyDescent="0.3">
      <c r="A97" s="12">
        <v>86</v>
      </c>
      <c r="B97" s="13">
        <f t="shared" si="15"/>
        <v>5000</v>
      </c>
      <c r="C97" s="13">
        <f t="shared" si="16"/>
        <v>5439.5428959516221</v>
      </c>
      <c r="D97" s="13">
        <f t="shared" si="12"/>
        <v>10439.542895951621</v>
      </c>
      <c r="E97" s="14">
        <f t="shared" si="17"/>
        <v>6503.8576594908354</v>
      </c>
      <c r="F97" s="13">
        <f t="shared" si="13"/>
        <v>650385.76594908349</v>
      </c>
      <c r="G97" s="13">
        <f t="shared" si="14"/>
        <v>5528.2790105672102</v>
      </c>
    </row>
    <row r="98" spans="1:7" x14ac:dyDescent="0.3">
      <c r="A98" s="9">
        <v>87</v>
      </c>
      <c r="B98" s="10">
        <f t="shared" si="15"/>
        <v>5000</v>
      </c>
      <c r="C98" s="10">
        <f t="shared" si="16"/>
        <v>5528.2790105672102</v>
      </c>
      <c r="D98" s="10">
        <f t="shared" si="12"/>
        <v>10528.27901056721</v>
      </c>
      <c r="E98" s="11">
        <f t="shared" si="17"/>
        <v>6609.1404495965071</v>
      </c>
      <c r="F98" s="10">
        <f t="shared" si="13"/>
        <v>660914.04495965072</v>
      </c>
      <c r="G98" s="10">
        <f t="shared" si="14"/>
        <v>5617.7693821570319</v>
      </c>
    </row>
    <row r="99" spans="1:7" x14ac:dyDescent="0.3">
      <c r="A99" s="12">
        <v>88</v>
      </c>
      <c r="B99" s="13">
        <f t="shared" si="15"/>
        <v>5000</v>
      </c>
      <c r="C99" s="13">
        <f t="shared" si="16"/>
        <v>5617.7693821570319</v>
      </c>
      <c r="D99" s="13">
        <f t="shared" si="12"/>
        <v>10617.769382157032</v>
      </c>
      <c r="E99" s="14">
        <f t="shared" si="17"/>
        <v>6715.3181434180779</v>
      </c>
      <c r="F99" s="13">
        <f t="shared" si="13"/>
        <v>671531.81434180774</v>
      </c>
      <c r="G99" s="13">
        <f t="shared" si="14"/>
        <v>5708.0204219053658</v>
      </c>
    </row>
    <row r="100" spans="1:7" x14ac:dyDescent="0.3">
      <c r="A100" s="9">
        <v>89</v>
      </c>
      <c r="B100" s="10">
        <f t="shared" si="15"/>
        <v>5000</v>
      </c>
      <c r="C100" s="10">
        <f t="shared" si="16"/>
        <v>5708.0204219053658</v>
      </c>
      <c r="D100" s="10">
        <f t="shared" si="12"/>
        <v>10708.020421905367</v>
      </c>
      <c r="E100" s="11">
        <f t="shared" si="17"/>
        <v>6822.3983476371313</v>
      </c>
      <c r="F100" s="10">
        <f t="shared" si="13"/>
        <v>682239.83476371318</v>
      </c>
      <c r="G100" s="10">
        <f t="shared" si="14"/>
        <v>5799.0385954915628</v>
      </c>
    </row>
    <row r="101" spans="1:7" x14ac:dyDescent="0.3">
      <c r="A101" s="12">
        <v>90</v>
      </c>
      <c r="B101" s="13">
        <f t="shared" si="15"/>
        <v>5000</v>
      </c>
      <c r="C101" s="13">
        <f t="shared" si="16"/>
        <v>5799.0385954915628</v>
      </c>
      <c r="D101" s="13">
        <f t="shared" si="12"/>
        <v>10799.038595491562</v>
      </c>
      <c r="E101" s="14">
        <f t="shared" si="17"/>
        <v>6930.3887335920472</v>
      </c>
      <c r="F101" s="13">
        <f t="shared" si="13"/>
        <v>693038.87335920474</v>
      </c>
      <c r="G101" s="13">
        <f t="shared" si="14"/>
        <v>5890.8304235532405</v>
      </c>
    </row>
    <row r="102" spans="1:7" x14ac:dyDescent="0.3">
      <c r="A102" s="9">
        <v>91</v>
      </c>
      <c r="B102" s="10">
        <f t="shared" si="15"/>
        <v>5000</v>
      </c>
      <c r="C102" s="10">
        <f t="shared" si="16"/>
        <v>5890.8304235532405</v>
      </c>
      <c r="D102" s="10">
        <f t="shared" si="12"/>
        <v>10890.830423553241</v>
      </c>
      <c r="E102" s="11">
        <f t="shared" si="17"/>
        <v>7039.2970378275795</v>
      </c>
      <c r="F102" s="10">
        <f t="shared" si="13"/>
        <v>703929.70378275798</v>
      </c>
      <c r="G102" s="10">
        <f t="shared" si="14"/>
        <v>5983.4024821534431</v>
      </c>
    </row>
    <row r="103" spans="1:7" x14ac:dyDescent="0.3">
      <c r="A103" s="12">
        <v>92</v>
      </c>
      <c r="B103" s="13">
        <f t="shared" si="15"/>
        <v>5000</v>
      </c>
      <c r="C103" s="13">
        <f t="shared" si="16"/>
        <v>5983.4024821534431</v>
      </c>
      <c r="D103" s="13">
        <f t="shared" si="12"/>
        <v>10983.402482153444</v>
      </c>
      <c r="E103" s="14">
        <f t="shared" si="17"/>
        <v>7149.131062649114</v>
      </c>
      <c r="F103" s="13">
        <f t="shared" si="13"/>
        <v>714913.10626491136</v>
      </c>
      <c r="G103" s="13">
        <f t="shared" si="14"/>
        <v>6076.7614032517467</v>
      </c>
    </row>
    <row r="104" spans="1:7" x14ac:dyDescent="0.3">
      <c r="A104" s="9">
        <v>93</v>
      </c>
      <c r="B104" s="10">
        <f t="shared" si="15"/>
        <v>5000</v>
      </c>
      <c r="C104" s="10">
        <f t="shared" si="16"/>
        <v>6076.7614032517467</v>
      </c>
      <c r="D104" s="10">
        <f t="shared" si="12"/>
        <v>11076.761403251747</v>
      </c>
      <c r="E104" s="11">
        <f t="shared" si="17"/>
        <v>7259.8986766816315</v>
      </c>
      <c r="F104" s="10">
        <f t="shared" si="13"/>
        <v>725989.86766816315</v>
      </c>
      <c r="G104" s="10">
        <f t="shared" si="14"/>
        <v>6170.9138751793871</v>
      </c>
    </row>
    <row r="105" spans="1:7" x14ac:dyDescent="0.3">
      <c r="A105" s="12">
        <v>94</v>
      </c>
      <c r="B105" s="13">
        <f t="shared" si="15"/>
        <v>5000</v>
      </c>
      <c r="C105" s="13">
        <f t="shared" si="16"/>
        <v>6170.9138751793871</v>
      </c>
      <c r="D105" s="13">
        <f t="shared" si="12"/>
        <v>11170.913875179387</v>
      </c>
      <c r="E105" s="14">
        <f t="shared" si="17"/>
        <v>7371.6078154334255</v>
      </c>
      <c r="F105" s="13">
        <f t="shared" si="13"/>
        <v>737160.78154334251</v>
      </c>
      <c r="G105" s="13">
        <f t="shared" si="14"/>
        <v>6265.866643118412</v>
      </c>
    </row>
    <row r="106" spans="1:7" x14ac:dyDescent="0.3">
      <c r="A106" s="9">
        <v>95</v>
      </c>
      <c r="B106" s="10">
        <f t="shared" si="15"/>
        <v>5000</v>
      </c>
      <c r="C106" s="10">
        <f t="shared" si="16"/>
        <v>6265.866643118412</v>
      </c>
      <c r="D106" s="10">
        <f t="shared" si="12"/>
        <v>11265.866643118412</v>
      </c>
      <c r="E106" s="11">
        <f t="shared" si="17"/>
        <v>7484.2664818646099</v>
      </c>
      <c r="F106" s="10">
        <f t="shared" si="13"/>
        <v>748426.64818646095</v>
      </c>
      <c r="G106" s="10">
        <f t="shared" si="14"/>
        <v>6361.6265095849185</v>
      </c>
    </row>
    <row r="107" spans="1:7" x14ac:dyDescent="0.3">
      <c r="A107" s="12">
        <v>96</v>
      </c>
      <c r="B107" s="13">
        <f t="shared" si="15"/>
        <v>5000</v>
      </c>
      <c r="C107" s="13">
        <f t="shared" si="16"/>
        <v>6361.6265095849185</v>
      </c>
      <c r="D107" s="13">
        <f t="shared" si="12"/>
        <v>11361.626509584919</v>
      </c>
      <c r="E107" s="14">
        <f t="shared" si="17"/>
        <v>7597.8827469604594</v>
      </c>
      <c r="F107" s="13">
        <f t="shared" si="13"/>
        <v>759788.2746960459</v>
      </c>
      <c r="G107" s="13">
        <f t="shared" si="14"/>
        <v>6458.2003349163906</v>
      </c>
    </row>
    <row r="108" spans="1:7" x14ac:dyDescent="0.3">
      <c r="A108" s="9">
        <v>97</v>
      </c>
      <c r="B108" s="10">
        <f t="shared" si="15"/>
        <v>5000</v>
      </c>
      <c r="C108" s="10">
        <f t="shared" si="16"/>
        <v>6458.2003349163906</v>
      </c>
      <c r="D108" s="10">
        <f t="shared" ref="D108:D139" si="18">B108+C108</f>
        <v>11458.20033491639</v>
      </c>
      <c r="E108" s="11">
        <f t="shared" si="17"/>
        <v>7712.464750309623</v>
      </c>
      <c r="F108" s="10">
        <f t="shared" ref="F108:F139" si="19">E108*$B$6</f>
        <v>771246.47503096226</v>
      </c>
      <c r="G108" s="10">
        <f t="shared" ref="G108:G139" si="20">F108*$B$7</f>
        <v>6555.5950377631798</v>
      </c>
    </row>
    <row r="109" spans="1:7" x14ac:dyDescent="0.3">
      <c r="A109" s="12">
        <v>98</v>
      </c>
      <c r="B109" s="13">
        <f t="shared" ref="B109:B131" si="21">$B$5</f>
        <v>5000</v>
      </c>
      <c r="C109" s="13">
        <f t="shared" ref="C109:C131" si="22">G108</f>
        <v>6555.5950377631798</v>
      </c>
      <c r="D109" s="13">
        <f t="shared" si="18"/>
        <v>11555.59503776318</v>
      </c>
      <c r="E109" s="14">
        <f t="shared" ref="E109:E140" si="23">E108+(D109/$B$6)</f>
        <v>7828.0207006872552</v>
      </c>
      <c r="F109" s="13">
        <f t="shared" si="19"/>
        <v>782802.0700687255</v>
      </c>
      <c r="G109" s="13">
        <f t="shared" si="20"/>
        <v>6653.8175955841671</v>
      </c>
    </row>
    <row r="110" spans="1:7" x14ac:dyDescent="0.3">
      <c r="A110" s="9">
        <v>99</v>
      </c>
      <c r="B110" s="10">
        <f t="shared" si="21"/>
        <v>5000</v>
      </c>
      <c r="C110" s="10">
        <f t="shared" si="22"/>
        <v>6653.8175955841671</v>
      </c>
      <c r="D110" s="10">
        <f t="shared" si="18"/>
        <v>11653.817595584167</v>
      </c>
      <c r="E110" s="11">
        <f t="shared" si="23"/>
        <v>7944.5588766430965</v>
      </c>
      <c r="F110" s="10">
        <f t="shared" si="19"/>
        <v>794455.8876643097</v>
      </c>
      <c r="G110" s="10">
        <f t="shared" si="20"/>
        <v>6752.8750451466331</v>
      </c>
    </row>
    <row r="111" spans="1:7" x14ac:dyDescent="0.3">
      <c r="A111" s="12">
        <v>100</v>
      </c>
      <c r="B111" s="13">
        <f t="shared" si="21"/>
        <v>5000</v>
      </c>
      <c r="C111" s="13">
        <f t="shared" si="22"/>
        <v>6752.8750451466331</v>
      </c>
      <c r="D111" s="13">
        <f t="shared" si="18"/>
        <v>11752.875045146633</v>
      </c>
      <c r="E111" s="14">
        <f t="shared" si="23"/>
        <v>8062.0876270945628</v>
      </c>
      <c r="F111" s="13">
        <f t="shared" si="19"/>
        <v>806208.76270945626</v>
      </c>
      <c r="G111" s="13">
        <f t="shared" si="20"/>
        <v>6852.7744830303791</v>
      </c>
    </row>
    <row r="112" spans="1:7" x14ac:dyDescent="0.3">
      <c r="A112" s="9">
        <v>101</v>
      </c>
      <c r="B112" s="10">
        <f t="shared" si="21"/>
        <v>5000</v>
      </c>
      <c r="C112" s="10">
        <f t="shared" si="22"/>
        <v>6852.7744830303791</v>
      </c>
      <c r="D112" s="10">
        <f t="shared" si="18"/>
        <v>11852.774483030378</v>
      </c>
      <c r="E112" s="11">
        <f t="shared" si="23"/>
        <v>8180.6153719248668</v>
      </c>
      <c r="F112" s="10">
        <f t="shared" si="19"/>
        <v>818061.53719248669</v>
      </c>
      <c r="G112" s="10">
        <f t="shared" si="20"/>
        <v>6953.5230661361375</v>
      </c>
    </row>
    <row r="113" spans="1:7" x14ac:dyDescent="0.3">
      <c r="A113" s="12">
        <v>102</v>
      </c>
      <c r="B113" s="13">
        <f t="shared" si="21"/>
        <v>5000</v>
      </c>
      <c r="C113" s="13">
        <f t="shared" si="22"/>
        <v>6953.5230661361375</v>
      </c>
      <c r="D113" s="13">
        <f t="shared" si="18"/>
        <v>11953.523066136138</v>
      </c>
      <c r="E113" s="14">
        <f t="shared" si="23"/>
        <v>8300.1506025862291</v>
      </c>
      <c r="F113" s="13">
        <f t="shared" si="19"/>
        <v>830015.06025862286</v>
      </c>
      <c r="G113" s="13">
        <f t="shared" si="20"/>
        <v>7055.1280121982945</v>
      </c>
    </row>
    <row r="114" spans="1:7" x14ac:dyDescent="0.3">
      <c r="A114" s="9">
        <v>103</v>
      </c>
      <c r="B114" s="10">
        <f t="shared" si="21"/>
        <v>5000</v>
      </c>
      <c r="C114" s="10">
        <f t="shared" si="22"/>
        <v>7055.1280121982945</v>
      </c>
      <c r="D114" s="10">
        <f t="shared" si="18"/>
        <v>12055.128012198295</v>
      </c>
      <c r="E114" s="11">
        <f t="shared" si="23"/>
        <v>8420.701882708212</v>
      </c>
      <c r="F114" s="10">
        <f t="shared" si="19"/>
        <v>842070.18827082124</v>
      </c>
      <c r="G114" s="10">
        <f t="shared" si="20"/>
        <v>7157.5966003019812</v>
      </c>
    </row>
    <row r="115" spans="1:7" x14ac:dyDescent="0.3">
      <c r="A115" s="12">
        <v>104</v>
      </c>
      <c r="B115" s="13">
        <f t="shared" si="21"/>
        <v>5000</v>
      </c>
      <c r="C115" s="13">
        <f t="shared" si="22"/>
        <v>7157.5966003019812</v>
      </c>
      <c r="D115" s="13">
        <f t="shared" si="18"/>
        <v>12157.596600301982</v>
      </c>
      <c r="E115" s="14">
        <f t="shared" si="23"/>
        <v>8542.2778487112319</v>
      </c>
      <c r="F115" s="13">
        <f t="shared" si="19"/>
        <v>854227.78487112315</v>
      </c>
      <c r="G115" s="13">
        <f t="shared" si="20"/>
        <v>7260.9361714045472</v>
      </c>
    </row>
    <row r="116" spans="1:7" x14ac:dyDescent="0.3">
      <c r="A116" s="9">
        <v>105</v>
      </c>
      <c r="B116" s="10">
        <f t="shared" si="21"/>
        <v>5000</v>
      </c>
      <c r="C116" s="10">
        <f t="shared" si="22"/>
        <v>7260.9361714045472</v>
      </c>
      <c r="D116" s="10">
        <f t="shared" si="18"/>
        <v>12260.936171404548</v>
      </c>
      <c r="E116" s="11">
        <f t="shared" si="23"/>
        <v>8664.8872104252769</v>
      </c>
      <c r="F116" s="10">
        <f t="shared" si="19"/>
        <v>866488.7210425277</v>
      </c>
      <c r="G116" s="10">
        <f t="shared" si="20"/>
        <v>7365.1541288614862</v>
      </c>
    </row>
    <row r="117" spans="1:7" x14ac:dyDescent="0.3">
      <c r="A117" s="12">
        <v>106</v>
      </c>
      <c r="B117" s="13">
        <f t="shared" si="21"/>
        <v>5000</v>
      </c>
      <c r="C117" s="13">
        <f t="shared" si="22"/>
        <v>7365.1541288614862</v>
      </c>
      <c r="D117" s="13">
        <f t="shared" si="18"/>
        <v>12365.154128861486</v>
      </c>
      <c r="E117" s="14">
        <f t="shared" si="23"/>
        <v>8788.5387517138915</v>
      </c>
      <c r="F117" s="13">
        <f t="shared" si="19"/>
        <v>878853.8751713892</v>
      </c>
      <c r="G117" s="13">
        <f t="shared" si="20"/>
        <v>7470.2579389568091</v>
      </c>
    </row>
    <row r="118" spans="1:7" x14ac:dyDescent="0.3">
      <c r="A118" s="9">
        <v>107</v>
      </c>
      <c r="B118" s="10">
        <f t="shared" si="21"/>
        <v>5000</v>
      </c>
      <c r="C118" s="10">
        <f t="shared" si="22"/>
        <v>7470.2579389568091</v>
      </c>
      <c r="D118" s="10">
        <f t="shared" si="18"/>
        <v>12470.257938956809</v>
      </c>
      <c r="E118" s="11">
        <f t="shared" si="23"/>
        <v>8913.2413311034597</v>
      </c>
      <c r="F118" s="10">
        <f t="shared" si="19"/>
        <v>891324.13311034592</v>
      </c>
      <c r="G118" s="10">
        <f t="shared" si="20"/>
        <v>7576.2551314379407</v>
      </c>
    </row>
    <row r="119" spans="1:7" x14ac:dyDescent="0.3">
      <c r="A119" s="12">
        <v>108</v>
      </c>
      <c r="B119" s="13">
        <f t="shared" si="21"/>
        <v>5000</v>
      </c>
      <c r="C119" s="13">
        <f t="shared" si="22"/>
        <v>7576.2551314379407</v>
      </c>
      <c r="D119" s="13">
        <f t="shared" si="18"/>
        <v>12576.255131437942</v>
      </c>
      <c r="E119" s="14">
        <f t="shared" si="23"/>
        <v>9039.0038824178391</v>
      </c>
      <c r="F119" s="13">
        <f t="shared" si="19"/>
        <v>903900.38824178395</v>
      </c>
      <c r="G119" s="13">
        <f t="shared" si="20"/>
        <v>7683.1533000551644</v>
      </c>
    </row>
    <row r="120" spans="1:7" x14ac:dyDescent="0.3">
      <c r="A120" s="9">
        <v>109</v>
      </c>
      <c r="B120" s="10">
        <f t="shared" si="21"/>
        <v>5000</v>
      </c>
      <c r="C120" s="10">
        <f t="shared" si="22"/>
        <v>7683.1533000551644</v>
      </c>
      <c r="D120" s="10">
        <f t="shared" si="18"/>
        <v>12683.153300055164</v>
      </c>
      <c r="E120" s="11">
        <f t="shared" si="23"/>
        <v>9165.8354154183908</v>
      </c>
      <c r="F120" s="10">
        <f t="shared" si="19"/>
        <v>916583.54154183902</v>
      </c>
      <c r="G120" s="10">
        <f t="shared" si="20"/>
        <v>7790.9601031056318</v>
      </c>
    </row>
    <row r="121" spans="1:7" x14ac:dyDescent="0.3">
      <c r="A121" s="12">
        <v>110</v>
      </c>
      <c r="B121" s="13">
        <f t="shared" si="21"/>
        <v>5000</v>
      </c>
      <c r="C121" s="13">
        <f t="shared" si="22"/>
        <v>7790.9601031056318</v>
      </c>
      <c r="D121" s="13">
        <f t="shared" si="18"/>
        <v>12790.960103105632</v>
      </c>
      <c r="E121" s="14">
        <f t="shared" si="23"/>
        <v>9293.7450164494476</v>
      </c>
      <c r="F121" s="13">
        <f t="shared" si="19"/>
        <v>929374.50164494477</v>
      </c>
      <c r="G121" s="13">
        <f t="shared" si="20"/>
        <v>7899.6832639820313</v>
      </c>
    </row>
    <row r="122" spans="1:7" x14ac:dyDescent="0.3">
      <c r="A122" s="9">
        <v>111</v>
      </c>
      <c r="B122" s="10">
        <f t="shared" si="21"/>
        <v>5000</v>
      </c>
      <c r="C122" s="10">
        <f t="shared" si="22"/>
        <v>7899.6832639820313</v>
      </c>
      <c r="D122" s="10">
        <f t="shared" si="18"/>
        <v>12899.683263982031</v>
      </c>
      <c r="E122" s="11">
        <f t="shared" si="23"/>
        <v>9422.7418490892687</v>
      </c>
      <c r="F122" s="10">
        <f t="shared" si="19"/>
        <v>942274.18490892684</v>
      </c>
      <c r="G122" s="10">
        <f t="shared" si="20"/>
        <v>8009.3305717258791</v>
      </c>
    </row>
    <row r="123" spans="1:7" x14ac:dyDescent="0.3">
      <c r="A123" s="12">
        <v>112</v>
      </c>
      <c r="B123" s="13">
        <f t="shared" si="21"/>
        <v>5000</v>
      </c>
      <c r="C123" s="13">
        <f t="shared" si="22"/>
        <v>8009.3305717258791</v>
      </c>
      <c r="D123" s="13">
        <f t="shared" si="18"/>
        <v>13009.330571725879</v>
      </c>
      <c r="E123" s="14">
        <f t="shared" si="23"/>
        <v>9552.8351548065275</v>
      </c>
      <c r="F123" s="13">
        <f t="shared" si="19"/>
        <v>955283.5154806528</v>
      </c>
      <c r="G123" s="13">
        <f t="shared" si="20"/>
        <v>8119.9098815855496</v>
      </c>
    </row>
    <row r="124" spans="1:7" x14ac:dyDescent="0.3">
      <c r="A124" s="9">
        <v>113</v>
      </c>
      <c r="B124" s="10">
        <f t="shared" si="21"/>
        <v>5000</v>
      </c>
      <c r="C124" s="10">
        <f t="shared" si="22"/>
        <v>8119.9098815855496</v>
      </c>
      <c r="D124" s="10">
        <f t="shared" si="18"/>
        <v>13119.90988158555</v>
      </c>
      <c r="E124" s="11">
        <f t="shared" si="23"/>
        <v>9684.0342536223834</v>
      </c>
      <c r="F124" s="10">
        <f t="shared" si="19"/>
        <v>968403.42536223831</v>
      </c>
      <c r="G124" s="10">
        <f t="shared" si="20"/>
        <v>8231.429115579027</v>
      </c>
    </row>
    <row r="125" spans="1:7" x14ac:dyDescent="0.3">
      <c r="A125" s="12">
        <v>114</v>
      </c>
      <c r="B125" s="13">
        <f t="shared" si="21"/>
        <v>5000</v>
      </c>
      <c r="C125" s="13">
        <f t="shared" si="22"/>
        <v>8231.429115579027</v>
      </c>
      <c r="D125" s="13">
        <f t="shared" si="18"/>
        <v>13231.429115579027</v>
      </c>
      <c r="E125" s="14">
        <f t="shared" si="23"/>
        <v>9816.3485447781732</v>
      </c>
      <c r="F125" s="13">
        <f t="shared" si="19"/>
        <v>981634.85447781731</v>
      </c>
      <c r="G125" s="13">
        <f t="shared" si="20"/>
        <v>8343.8962630614478</v>
      </c>
    </row>
    <row r="126" spans="1:7" x14ac:dyDescent="0.3">
      <c r="A126" s="9">
        <v>115</v>
      </c>
      <c r="B126" s="10">
        <f t="shared" si="21"/>
        <v>5000</v>
      </c>
      <c r="C126" s="10">
        <f t="shared" si="22"/>
        <v>8343.8962630614478</v>
      </c>
      <c r="D126" s="10">
        <f t="shared" si="18"/>
        <v>13343.896263061448</v>
      </c>
      <c r="E126" s="11">
        <f t="shared" si="23"/>
        <v>9949.7875074087879</v>
      </c>
      <c r="F126" s="10">
        <f t="shared" si="19"/>
        <v>994978.75074087875</v>
      </c>
      <c r="G126" s="10">
        <f t="shared" si="20"/>
        <v>8457.3193812974696</v>
      </c>
    </row>
    <row r="127" spans="1:7" x14ac:dyDescent="0.3">
      <c r="A127" s="12">
        <v>116</v>
      </c>
      <c r="B127" s="13">
        <f t="shared" si="21"/>
        <v>5000</v>
      </c>
      <c r="C127" s="13">
        <f t="shared" si="22"/>
        <v>8457.3193812974696</v>
      </c>
      <c r="D127" s="13">
        <f t="shared" si="18"/>
        <v>13457.31938129747</v>
      </c>
      <c r="E127" s="14">
        <f t="shared" si="23"/>
        <v>10084.360701221762</v>
      </c>
      <c r="F127" s="13">
        <f t="shared" si="19"/>
        <v>1008436.0701221762</v>
      </c>
      <c r="G127" s="13">
        <f t="shared" si="20"/>
        <v>8571.7065960384989</v>
      </c>
    </row>
    <row r="128" spans="1:7" x14ac:dyDescent="0.3">
      <c r="A128" s="9">
        <v>117</v>
      </c>
      <c r="B128" s="10">
        <f t="shared" si="21"/>
        <v>5000</v>
      </c>
      <c r="C128" s="10">
        <f t="shared" si="22"/>
        <v>8571.7065960384989</v>
      </c>
      <c r="D128" s="10">
        <f t="shared" si="18"/>
        <v>13571.706596038499</v>
      </c>
      <c r="E128" s="11">
        <f t="shared" si="23"/>
        <v>10220.077767182147</v>
      </c>
      <c r="F128" s="10">
        <f t="shared" si="19"/>
        <v>1022007.7767182147</v>
      </c>
      <c r="G128" s="10">
        <f t="shared" si="20"/>
        <v>8687.0661021048254</v>
      </c>
    </row>
    <row r="129" spans="1:7" x14ac:dyDescent="0.3">
      <c r="A129" s="12">
        <v>118</v>
      </c>
      <c r="B129" s="13">
        <f t="shared" si="21"/>
        <v>5000</v>
      </c>
      <c r="C129" s="13">
        <f t="shared" si="22"/>
        <v>8687.0661021048254</v>
      </c>
      <c r="D129" s="13">
        <f t="shared" si="18"/>
        <v>13687.066102104825</v>
      </c>
      <c r="E129" s="14">
        <f t="shared" si="23"/>
        <v>10356.948428203195</v>
      </c>
      <c r="F129" s="13">
        <f t="shared" si="19"/>
        <v>1035694.8428203196</v>
      </c>
      <c r="G129" s="13">
        <f t="shared" si="20"/>
        <v>8803.406163972717</v>
      </c>
    </row>
    <row r="130" spans="1:7" x14ac:dyDescent="0.3">
      <c r="A130" s="9">
        <v>119</v>
      </c>
      <c r="B130" s="10">
        <f t="shared" si="21"/>
        <v>5000</v>
      </c>
      <c r="C130" s="10">
        <f t="shared" si="22"/>
        <v>8803.406163972717</v>
      </c>
      <c r="D130" s="10">
        <f t="shared" si="18"/>
        <v>13803.406163972717</v>
      </c>
      <c r="E130" s="11">
        <f t="shared" si="23"/>
        <v>10494.982489842923</v>
      </c>
      <c r="F130" s="10">
        <f t="shared" si="19"/>
        <v>1049498.2489842924</v>
      </c>
      <c r="G130" s="10">
        <f t="shared" si="20"/>
        <v>8920.7351163664862</v>
      </c>
    </row>
    <row r="131" spans="1:7" x14ac:dyDescent="0.3">
      <c r="A131" s="12">
        <v>120</v>
      </c>
      <c r="B131" s="13">
        <f t="shared" si="21"/>
        <v>5000</v>
      </c>
      <c r="C131" s="13">
        <f t="shared" si="22"/>
        <v>8920.7351163664862</v>
      </c>
      <c r="D131" s="13">
        <f t="shared" si="18"/>
        <v>13920.735116366486</v>
      </c>
      <c r="E131" s="14">
        <f t="shared" si="23"/>
        <v>10634.189841006588</v>
      </c>
      <c r="F131" s="13">
        <f t="shared" si="19"/>
        <v>1063418.9841006587</v>
      </c>
      <c r="G131" s="13">
        <f t="shared" si="20"/>
        <v>9039.0613648555991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35" customWidth="1"/>
    <col min="2" max="2" width="80" customWidth="1"/>
  </cols>
  <sheetData>
    <row r="1" spans="1:2" ht="17.399999999999999" x14ac:dyDescent="0.3">
      <c r="A1" s="15" t="s">
        <v>19</v>
      </c>
    </row>
    <row r="3" spans="1:2" x14ac:dyDescent="0.3">
      <c r="A3" s="16"/>
    </row>
    <row r="4" spans="1:2" x14ac:dyDescent="0.3">
      <c r="A4" s="17" t="s">
        <v>20</v>
      </c>
    </row>
    <row r="5" spans="1:2" x14ac:dyDescent="0.3">
      <c r="A5" s="16" t="s">
        <v>21</v>
      </c>
    </row>
    <row r="6" spans="1:2" x14ac:dyDescent="0.3">
      <c r="A6" s="16" t="s">
        <v>22</v>
      </c>
    </row>
    <row r="7" spans="1:2" x14ac:dyDescent="0.3">
      <c r="A7" s="16" t="s">
        <v>23</v>
      </c>
    </row>
    <row r="8" spans="1:2" x14ac:dyDescent="0.3">
      <c r="A8" s="16" t="s">
        <v>24</v>
      </c>
    </row>
    <row r="9" spans="1:2" x14ac:dyDescent="0.3">
      <c r="A9" s="16" t="s">
        <v>25</v>
      </c>
    </row>
    <row r="10" spans="1:2" x14ac:dyDescent="0.3">
      <c r="A10" s="16"/>
    </row>
    <row r="11" spans="1:2" x14ac:dyDescent="0.3">
      <c r="A11" s="17" t="s">
        <v>26</v>
      </c>
    </row>
    <row r="12" spans="1:2" x14ac:dyDescent="0.3">
      <c r="A12" s="17" t="s">
        <v>27</v>
      </c>
      <c r="B12" s="16" t="s">
        <v>28</v>
      </c>
    </row>
    <row r="13" spans="1:2" x14ac:dyDescent="0.3">
      <c r="A13" s="17" t="s">
        <v>29</v>
      </c>
      <c r="B13" s="16" t="s">
        <v>30</v>
      </c>
    </row>
    <row r="14" spans="1:2" x14ac:dyDescent="0.3">
      <c r="A14" s="17" t="s">
        <v>31</v>
      </c>
      <c r="B14" s="16" t="s">
        <v>32</v>
      </c>
    </row>
    <row r="15" spans="1:2" x14ac:dyDescent="0.3">
      <c r="A15" s="17" t="s">
        <v>33</v>
      </c>
      <c r="B15" s="1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 de FIIs</vt:lpstr>
      <vt:lpstr>Instruções e Exemplos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Edson Garcia</cp:lastModifiedBy>
  <dcterms:created xsi:type="dcterms:W3CDTF">2026-06-13T19:53:06Z</dcterms:created>
  <dcterms:modified xsi:type="dcterms:W3CDTF">2026-06-13T19:58:23Z</dcterms:modified>
</cp:coreProperties>
</file>